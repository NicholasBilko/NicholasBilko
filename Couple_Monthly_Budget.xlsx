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October" sheetId="2" state="visible" r:id="rId2"/>
    <sheet name="September" sheetId="3" state="visible" r:id="rId3"/>
    <sheet name="Accounts" sheetId="4" state="visible" r:id="rId4"/>
    <sheet name="Balance Snapshots" sheetId="5" state="visible" r:id="rId5"/>
    <sheet name="Transactions" sheetId="6" state="visible" r:id="rId6"/>
    <sheet name="Review Log" sheetId="7" state="visible" r:id="rId7"/>
    <sheet name="Lists" sheetId="8" state="hidden" r:id="rId8"/>
  </sheets>
  <definedNames>
    <definedName name="CoupleStatusList">'Lists'!$A$2:$A$6</definedName>
    <definedName name="CoupleTypeList">'Lists'!$B$2:$B$7</definedName>
    <definedName name="CoupleCategoryList">'Lists'!$C$2:$C$14</definedName>
    <definedName name="BudgetForList">'Lists'!$D$2:$D$4</definedName>
    <definedName name="_xlnm.Print_Area" localSheetId="1">'October'!$A$1:$K$40</definedName>
    <definedName name="_xlnm.Print_Area" localSheetId="2">'September'!$A$1:$K$40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d, yyyy"/>
    <numFmt numFmtId="166" formatCode="$#,##0.00;[Red]-$#,##0.00"/>
    <numFmt numFmtId="167" formatCode="mmmm yyyy"/>
    <numFmt numFmtId="168" formatCode="$#,##0.00"/>
  </numFmts>
  <fonts count="12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7F8C8D"/>
    </font>
    <font>
      <b val="1"/>
      <color rgb="00FFFFFF"/>
      <sz val="11"/>
    </font>
    <font>
      <b val="1"/>
      <color rgb="0017365D"/>
    </font>
    <font>
      <b val="1"/>
    </font>
    <font>
      <name val="Calibri"/>
      <family val="2"/>
      <color theme="10"/>
      <sz val="12"/>
      <scheme val="minor"/>
    </font>
    <font>
      <b val="1"/>
      <color rgb="00FFFFFF"/>
      <sz val="16"/>
    </font>
    <font>
      <b val="1"/>
      <color rgb="00FFFFFF"/>
    </font>
    <font>
      <b val="1"/>
      <color rgb="0017365D"/>
      <sz val="17"/>
    </font>
    <font>
      <b val="1"/>
      <color rgb="00FFFFFF"/>
      <sz val="18"/>
    </font>
    <font>
      <i val="1"/>
      <color rgb="007F8C8D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8FC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6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0" fillId="3" borderId="0" applyAlignment="1" pivotButton="0" quotePrefix="0" xfId="0">
      <alignment wrapText="1"/>
    </xf>
    <xf numFmtId="0" fontId="6" fillId="0" borderId="0" applyAlignment="1" pivotButton="0" quotePrefix="0" xfId="1">
      <alignment horizontal="center"/>
    </xf>
    <xf numFmtId="0" fontId="10" fillId="2" borderId="0" applyAlignment="1" pivotButton="0" quotePrefix="0" xfId="0">
      <alignment horizontal="center"/>
    </xf>
    <xf numFmtId="167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6" fillId="0" borderId="0" pivotButton="0" quotePrefix="0" xfId="1"/>
    <xf numFmtId="0" fontId="2" fillId="0" borderId="0" applyAlignment="1" pivotButton="0" quotePrefix="0" xfId="0">
      <alignment horizontal="right"/>
    </xf>
    <xf numFmtId="0" fontId="8" fillId="5" borderId="0" applyAlignment="1" pivotButton="0" quotePrefix="0" xfId="0">
      <alignment horizontal="center"/>
    </xf>
    <xf numFmtId="168" fontId="9" fillId="6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5" borderId="1" applyAlignment="1" pivotButton="0" quotePrefix="0" xfId="0">
      <alignment horizontal="center" wrapText="1"/>
    </xf>
    <xf numFmtId="0" fontId="0" fillId="3" borderId="1" pivotButton="0" quotePrefix="0" xfId="0"/>
    <xf numFmtId="168" fontId="0" fillId="4" borderId="1" applyAlignment="1" pivotButton="0" quotePrefix="0" xfId="0">
      <alignment horizontal="center"/>
    </xf>
    <xf numFmtId="168" fontId="0" fillId="4" borderId="1" pivotButton="0" quotePrefix="0" xfId="0"/>
    <xf numFmtId="168" fontId="0" fillId="3" borderId="1" pivotButton="0" quotePrefix="0" xfId="0"/>
    <xf numFmtId="9" fontId="0" fillId="3" borderId="1" pivotButton="0" quotePrefix="0" xfId="0"/>
    <xf numFmtId="165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8" fontId="0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0" borderId="1" pivotButton="0" quotePrefix="0" xfId="0"/>
    <xf numFmtId="168" fontId="5" fillId="6" borderId="1" pivotButton="0" quotePrefix="0" xfId="0"/>
    <xf numFmtId="9" fontId="5" fillId="6" borderId="1" pivotButton="0" quotePrefix="0" xfId="0"/>
    <xf numFmtId="168" fontId="0" fillId="6" borderId="1" pivotButton="0" quotePrefix="0" xfId="0"/>
    <xf numFmtId="166" fontId="0" fillId="4" borderId="1" pivotButton="0" quotePrefix="0" xfId="0"/>
    <xf numFmtId="166" fontId="0" fillId="3" borderId="1" pivotButton="0" quotePrefix="0" xfId="0"/>
    <xf numFmtId="0" fontId="5" fillId="3" borderId="1" pivotButton="0" quotePrefix="0" xfId="0"/>
    <xf numFmtId="168" fontId="5" fillId="7" borderId="1" pivotButton="0" quotePrefix="0" xfId="0"/>
    <xf numFmtId="0" fontId="8" fillId="5" borderId="1" pivotButton="0" quotePrefix="0" xfId="0"/>
    <xf numFmtId="166" fontId="0" fillId="6" borderId="1" pivotButton="0" quotePrefix="0" xfId="0"/>
    <xf numFmtId="168" fontId="0" fillId="0" borderId="1" pivotButton="0" quotePrefix="0" xfId="0"/>
    <xf numFmtId="165" fontId="0" fillId="6" borderId="1" pivotButton="0" quotePrefix="0" xfId="0"/>
    <xf numFmtId="0" fontId="2" fillId="8" borderId="0" applyAlignment="1" pivotButton="0" quotePrefix="0" xfId="0">
      <alignment horizontal="center" wrapText="1"/>
    </xf>
    <xf numFmtId="0" fontId="7" fillId="2" borderId="0" applyAlignment="1" pivotButton="0" quotePrefix="0" xfId="0">
      <alignment horizontal="center"/>
    </xf>
    <xf numFmtId="166" fontId="9" fillId="6" borderId="0" applyAlignment="1" pivotButton="0" quotePrefix="0" xfId="0">
      <alignment horizontal="center" vertical="center"/>
    </xf>
    <xf numFmtId="0" fontId="0" fillId="4" borderId="0" pivotButton="0" quotePrefix="0" xfId="0"/>
    <xf numFmtId="166" fontId="0" fillId="6" borderId="0" pivotButton="0" quotePrefix="0" xfId="0"/>
    <xf numFmtId="165" fontId="0" fillId="6" borderId="0" pivotButton="0" quotePrefix="0" xfId="0"/>
    <xf numFmtId="0" fontId="0" fillId="4" borderId="0" applyAlignment="1" pivotButton="0" quotePrefix="0" xfId="0">
      <alignment wrapText="1"/>
    </xf>
    <xf numFmtId="165" fontId="0" fillId="4" borderId="0" pivotButton="0" quotePrefix="0" xfId="0"/>
    <xf numFmtId="166" fontId="0" fillId="4" borderId="0" pivotButton="0" quotePrefix="0" xfId="0"/>
    <xf numFmtId="0" fontId="0" fillId="6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0" fontId="0" fillId="6" borderId="0" pivotButton="0" quotePrefix="0" xfId="0"/>
    <xf numFmtId="167" fontId="0" fillId="6" borderId="0" pivotButton="0" quotePrefix="0" xfId="0"/>
    <xf numFmtId="167" fontId="0" fillId="4" borderId="0" pivotButton="0" quotePrefix="0" xfId="0"/>
  </cellXfs>
  <cellStyles count="2">
    <cellStyle name="Normal" xfId="0" builtinId="0" hidden="0"/>
    <cellStyle name="Hyperlink" xfId="1" builtinId="8" hidden="0"/>
  </cellStyles>
  <dxfs count="5">
    <dxf>
      <font>
        <color rgb="00C00000"/>
      </font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ont>
        <b val="1"/>
        <color rgb="0070AD47"/>
      </font>
      <fill>
        <patternFill patternType="solid">
          <fgColor rgb="00E2F0D9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Cursor</author>
  </authors>
  <commentList>
    <comment ref="K11" authorId="0" shapeId="0">
      <text>
        <t>Editable monthly plan.</t>
      </text>
    </comment>
    <comment ref="K12" authorId="0" shapeId="0">
      <text>
        <t>Editable monthly plan.</t>
      </text>
    </comment>
    <comment ref="K13" authorId="0" shapeId="0">
      <text>
        <t>Editable monthly plan.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K11" authorId="0" shapeId="0">
      <text>
        <t>Editable monthly plan.</t>
      </text>
    </comment>
    <comment ref="K12" authorId="0" shapeId="0">
      <text>
        <t>Editable monthly plan.</t>
      </text>
    </comment>
    <comment ref="K13" authorId="0" shapeId="0">
      <text>
        <t>Editable monthly plan.</t>
      </text>
    </comment>
  </commentList>
</comments>
</file>

<file path=xl/tables/table1.xml><?xml version="1.0" encoding="utf-8"?>
<table xmlns="http://schemas.openxmlformats.org/spreadsheetml/2006/main" id="1" name="tblAccounts" displayName="tblAccounts" ref="A9:I17" headerRowCount="1">
  <autoFilter ref="A9:I17"/>
  <tableColumns count="9">
    <tableColumn id="1" name="Account ID"/>
    <tableColumn id="2" name="Institution"/>
    <tableColumn id="3" name="Account Name"/>
    <tableColumn id="4" name="Owner"/>
    <tableColumn id="5" name="Type"/>
    <tableColumn id="6" name="Reconcile Monthly"/>
    <tableColumn id="7" name="Include in Net Worth"/>
    <tableColumn id="8" name="Latest Balance"/>
    <tableColumn id="9" name="Balance As O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alances" displayName="tblBalances" ref="A4:E28" headerRowCount="1">
  <autoFilter ref="A4:E28"/>
  <tableColumns count="5">
    <tableColumn id="1" name="As Of Date"/>
    <tableColumn id="2" name="Account ID"/>
    <tableColumn id="3" name="Balance"/>
    <tableColumn id="4" name="Source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upleTransactions" displayName="tblCoupleTransactions" ref="A4:P56" headerRowCount="1">
  <autoFilter ref="A4:P56"/>
  <tableColumns count="16">
    <tableColumn id="1" name="Transaction ID"/>
    <tableColumn id="2" name="Posted Date"/>
    <tableColumn id="3" name="Account ID"/>
    <tableColumn id="4" name="Merchant"/>
    <tableColumn id="5" name="Amount"/>
    <tableColumn id="6" name="Suggested Type"/>
    <tableColumn id="7" name="Suggested Category"/>
    <tableColumn id="8" name="Institution"/>
    <tableColumn id="9" name="Account Owner"/>
    <tableColumn id="10" name="Final Type"/>
    <tableColumn id="11" name="Final Category"/>
    <tableColumn id="12" name="Budget For"/>
    <tableColumn id="13" name="Related Transaction"/>
    <tableColumn id="14" name="Applies To Month"/>
    <tableColumn id="15" name="Review Status"/>
    <tableColumn id="1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oupleReview" displayName="tblCoupleReview" ref="A4:H56" headerRowCount="1">
  <autoFilter ref="A4:H56"/>
  <tableColumns count="8">
    <tableColumn id="1" name="Transaction ID"/>
    <tableColumn id="2" name="Status"/>
    <tableColumn id="3" name="Type Override"/>
    <tableColumn id="4" name="Category Override"/>
    <tableColumn id="5" name="Budget For"/>
    <tableColumn id="6" name="Related Transaction"/>
    <tableColumn id="7" name="Applies To Month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ctober'!A1" TargetMode="External" Id="rId1" /><Relationship Type="http://schemas.openxmlformats.org/officeDocument/2006/relationships/hyperlink" Target="#'Accounts'!A1" TargetMode="External" Id="rId2" /><Relationship Type="http://schemas.openxmlformats.org/officeDocument/2006/relationships/hyperlink" Target="#'Transactions'!A1" TargetMode="External" Id="rId3" /><Relationship Type="http://schemas.openxmlformats.org/officeDocument/2006/relationships/hyperlink" Target="#'Review Log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Accounts'!A1" TargetMode="External" Id="rId2" /><Relationship Type="http://schemas.openxmlformats.org/officeDocument/2006/relationships/hyperlink" Target="#'Transactions'!A1" TargetMode="External" Id="rId3" /><Relationship Type="http://schemas.openxmlformats.org/officeDocument/2006/relationships/hyperlink" Target="#'Review Log'!A1" TargetMode="External" Id="rId4" /><Relationship Type="http://schemas.openxmlformats.org/officeDocument/2006/relationships/hyperlink" Target="#'September'!A1" TargetMode="External" Id="rId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Accounts'!A1" TargetMode="External" Id="rId2" /><Relationship Type="http://schemas.openxmlformats.org/officeDocument/2006/relationships/hyperlink" Target="#'Transactions'!A1" TargetMode="External" Id="rId3" /><Relationship Type="http://schemas.openxmlformats.org/officeDocument/2006/relationships/hyperlink" Target="#'Review Log'!A1" TargetMode="External" Id="rId4" /><Relationship Type="http://schemas.openxmlformats.org/officeDocument/2006/relationships/hyperlink" Target="#'October'!A1" TargetMode="External" Id="rId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Balance Snapshots'!A1" TargetMode="External" Id="rId2" /><Relationship Type="http://schemas.openxmlformats.org/officeDocument/2006/relationships/hyperlink" Target="#'October'!A1" TargetMode="External" Id="rId3" /><Relationship Type="http://schemas.openxmlformats.org/officeDocument/2006/relationships/table" Target="/xl/tables/table1.xml" Id="rId4" /></Relationships>
</file>

<file path=xl/worksheets/_rels/sheet5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Accounts'!A1" TargetMode="External" Id="rId2" /><Relationship Type="http://schemas.openxmlformats.org/officeDocument/2006/relationships/hyperlink" Target="#'October'!A1" TargetMode="External" Id="rId3" /><Relationship Type="http://schemas.openxmlformats.org/officeDocument/2006/relationships/table" Target="/xl/tables/table2.xml" Id="rId4" /></Relationships>
</file>

<file path=xl/worksheets/_rels/sheet6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October'!A1" TargetMode="External" Id="rId2" /><Relationship Type="http://schemas.openxmlformats.org/officeDocument/2006/relationships/hyperlink" Target="#'Review Log'!A1" TargetMode="External" Id="rId3" /><Relationship Type="http://schemas.openxmlformats.org/officeDocument/2006/relationships/table" Target="/xl/tables/table3.xm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October'!A1" TargetMode="External" Id="rId2" /><Relationship Type="http://schemas.openxmlformats.org/officeDocument/2006/relationships/hyperlink" Target="#'Transactions'!A1" TargetMode="External" Id="rId3" /><Relationship Type="http://schemas.openxmlformats.org/officeDocument/2006/relationships/table" Target="/xl/tables/table4.xml" Id="rId4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4" customWidth="1" min="6" max="6"/>
  </cols>
  <sheetData>
    <row r="2" ht="34" customHeight="1">
      <c r="B2" s="1" t="inlineStr">
        <is>
          <t>Couple Monthly Budget — Sample Workbook</t>
        </is>
      </c>
    </row>
    <row r="3" ht="32" customHeight="1">
      <c r="B3" s="2" t="inlineStr">
        <is>
          <t>One household workbook for two people, multiple institutions, shared expenses, personal spending, and investments.</t>
        </is>
      </c>
    </row>
    <row r="6">
      <c r="B6" s="3" t="inlineStr">
        <is>
          <t>The workbook has three connected layers</t>
        </is>
      </c>
    </row>
    <row r="7" ht="28" customHeight="1">
      <c r="B7" s="4" t="inlineStr">
        <is>
          <t>1. Bank facts</t>
        </is>
      </c>
      <c r="C7" s="5" t="inlineStr">
        <is>
          <t>Transactions contain posted dates, accounts, merchants, and signed amounts.</t>
        </is>
      </c>
    </row>
    <row r="8" ht="28" customHeight="1">
      <c r="B8" s="4" t="inlineStr">
        <is>
          <t>2. Your decisions</t>
        </is>
      </c>
      <c r="C8" s="5" t="inlineStr">
        <is>
          <t>Review Log stores verification, overrides, who the spending was for, and related IDs.</t>
        </is>
      </c>
    </row>
    <row r="9" ht="28" customHeight="1">
      <c r="B9" s="4" t="inlineStr">
        <is>
          <t>3. Monthly views</t>
        </is>
      </c>
      <c r="C9" s="5" t="inlineStr">
        <is>
          <t>September and October summarize the final reviewed transactions.</t>
        </is>
      </c>
    </row>
    <row r="12">
      <c r="B12" s="3" t="inlineStr">
        <is>
          <t>What changes for a couple</t>
        </is>
      </c>
    </row>
    <row r="13" ht="28" customHeight="1">
      <c r="B13" s="6" t="inlineStr">
        <is>
          <t>Account Owner</t>
        </is>
      </c>
      <c r="C13" s="7" t="inlineStr">
        <is>
          <t>Who legally owns or uses the bank or investment account.</t>
        </is>
      </c>
    </row>
    <row r="14" ht="28" customHeight="1">
      <c r="B14" s="6" t="inlineStr">
        <is>
          <t>Budget For</t>
        </is>
      </c>
      <c r="C14" s="7" t="inlineStr">
        <is>
          <t>Household, Partner 1, or Partner 2—the person or group benefiting from the spending.</t>
        </is>
      </c>
    </row>
    <row r="15" ht="28" customHeight="1">
      <c r="B15" s="6" t="inlineStr">
        <is>
          <t>Internal Transfer</t>
        </is>
      </c>
      <c r="C15" s="7" t="inlineStr">
        <is>
          <t>Money moved between included family accounts; never counted as family income or spending.</t>
        </is>
      </c>
    </row>
    <row r="16" ht="28" customHeight="1">
      <c r="B16" s="6" t="inlineStr">
        <is>
          <t>Balance Snapshot</t>
        </is>
      </c>
      <c r="C16" s="7" t="inlineStr">
        <is>
          <t>A dated bank balance or investment market value used for current position and history.</t>
        </is>
      </c>
    </row>
    <row r="19">
      <c r="B19" s="3" t="inlineStr">
        <is>
          <t>How to try the sample</t>
        </is>
      </c>
    </row>
    <row r="20" ht="28" customHeight="1">
      <c r="B20" s="4" t="inlineStr">
        <is>
          <t>1.</t>
        </is>
      </c>
      <c r="C20" s="5" t="inlineStr">
        <is>
          <t>Open October. Yellow cells are inputs; blue cells calculate automatically.</t>
        </is>
      </c>
    </row>
    <row r="21" ht="28" customHeight="1">
      <c r="B21" s="4" t="inlineStr">
        <is>
          <t>2.</t>
        </is>
      </c>
      <c r="C21" s="5" t="inlineStr">
        <is>
          <t>Open Accounts to see current CIBC, RBC, credit-card, and investment values.</t>
        </is>
      </c>
    </row>
    <row r="22" ht="28" customHeight="1">
      <c r="B22" s="4" t="inlineStr">
        <is>
          <t>3.</t>
        </is>
      </c>
      <c r="C22" s="5" t="inlineStr">
        <is>
          <t>Open Review Log and change OCT-021 from Unreviewed to Verified.</t>
        </is>
      </c>
    </row>
    <row r="23" ht="28" customHeight="1">
      <c r="B23" s="4" t="inlineStr">
        <is>
          <t>4.</t>
        </is>
      </c>
      <c r="C23" s="5" t="inlineStr">
        <is>
          <t>Return to October. With all statement differences at $0, the month becomes Reconciled.</t>
        </is>
      </c>
    </row>
    <row r="24" ht="28" customHeight="1">
      <c r="B24" s="4" t="inlineStr">
        <is>
          <t>5.</t>
        </is>
      </c>
      <c r="C24" s="5" t="inlineStr">
        <is>
          <t>Replace the sample names Partner 1 and Partner 2 with your names when adapting the workbook.</t>
        </is>
      </c>
    </row>
    <row r="27">
      <c r="B27" s="3" t="inlineStr">
        <is>
          <t>Open a sheet</t>
        </is>
      </c>
    </row>
    <row r="28">
      <c r="B28" s="8" t="inlineStr">
        <is>
          <t>October</t>
        </is>
      </c>
      <c r="C28" s="8" t="inlineStr">
        <is>
          <t>Accounts</t>
        </is>
      </c>
      <c r="D28" s="8" t="inlineStr">
        <is>
          <t>Transactions</t>
        </is>
      </c>
      <c r="E28" s="8" t="inlineStr">
        <is>
          <t>Review Log</t>
        </is>
      </c>
    </row>
  </sheetData>
  <mergeCells count="18">
    <mergeCell ref="C16:E16"/>
    <mergeCell ref="B27:E27"/>
    <mergeCell ref="C14:E14"/>
    <mergeCell ref="C13:E13"/>
    <mergeCell ref="B12:E12"/>
    <mergeCell ref="C23:E23"/>
    <mergeCell ref="B6:E6"/>
    <mergeCell ref="C22:E22"/>
    <mergeCell ref="C8:E8"/>
    <mergeCell ref="C9:E9"/>
    <mergeCell ref="B3:E3"/>
    <mergeCell ref="B2:E2"/>
    <mergeCell ref="B19:E19"/>
    <mergeCell ref="C7:E7"/>
    <mergeCell ref="C21:E21"/>
    <mergeCell ref="C20:E20"/>
    <mergeCell ref="C15:E15"/>
    <mergeCell ref="C24:E24"/>
  </mergeCells>
  <hyperlinks>
    <hyperlink xmlns:r="http://schemas.openxmlformats.org/officeDocument/2006/relationships" ref="B28" r:id="rId1"/>
    <hyperlink xmlns:r="http://schemas.openxmlformats.org/officeDocument/2006/relationships" ref="C28" r:id="rId2"/>
    <hyperlink xmlns:r="http://schemas.openxmlformats.org/officeDocument/2006/relationships" ref="D28" r:id="rId3"/>
    <hyperlink xmlns:r="http://schemas.openxmlformats.org/officeDocument/2006/relationships" ref="E2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M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2" customWidth="1" min="8" max="8"/>
    <col width="3" customWidth="1" min="9" max="9"/>
    <col width="23" customWidth="1" min="10" max="10"/>
    <col width="20" customWidth="1" min="11" max="11"/>
    <col hidden="1" width="13" customWidth="1" min="13" max="13"/>
  </cols>
  <sheetData>
    <row r="1" ht="32" customHeight="1">
      <c r="A1" s="9" t="inlineStr">
        <is>
          <t>October 2026 — Couple Budget Check</t>
        </is>
      </c>
      <c r="M1" s="10" t="n">
        <v>46296</v>
      </c>
    </row>
    <row r="2">
      <c r="A2" s="11" t="inlineStr">
        <is>
          <t>Family totals include both partners. Budget For separates shared household spending from each partner's personal spending.</t>
        </is>
      </c>
    </row>
    <row r="3">
      <c r="A3" s="12" t="inlineStr">
        <is>
          <t>← Start Here</t>
        </is>
      </c>
      <c r="B3" s="12" t="inlineStr">
        <is>
          <t>Accounts</t>
        </is>
      </c>
      <c r="C3" s="12" t="inlineStr">
        <is>
          <t>Transactions</t>
        </is>
      </c>
      <c r="D3" s="12" t="inlineStr">
        <is>
          <t>Review Log</t>
        </is>
      </c>
      <c r="E3" s="12" t="inlineStr">
        <is>
          <t>September</t>
        </is>
      </c>
      <c r="G3" s="13" t="inlineStr">
        <is>
          <t>Yellow = editable   |   Blue = calculated</t>
        </is>
      </c>
    </row>
    <row r="5">
      <c r="A5" s="14" t="inlineStr">
        <is>
          <t>Income Received</t>
        </is>
      </c>
      <c r="C5" s="14" t="inlineStr">
        <is>
          <t>Net Spending</t>
        </is>
      </c>
      <c r="E5" s="14" t="inlineStr">
        <is>
          <t>Budget Remaining</t>
        </is>
      </c>
      <c r="G5" s="14" t="inlineStr">
        <is>
          <t>Goals Funded</t>
        </is>
      </c>
      <c r="J5" s="14" t="inlineStr">
        <is>
          <t>Unallocated Income</t>
        </is>
      </c>
    </row>
    <row r="6">
      <c r="A6" s="15">
        <f>K24</f>
        <v/>
      </c>
      <c r="C6" s="15">
        <f>K27</f>
        <v/>
      </c>
      <c r="E6" s="15">
        <f>SUM(G12:G20)</f>
        <v/>
      </c>
      <c r="G6" s="15">
        <f>K28+K29</f>
        <v/>
      </c>
      <c r="J6" s="15">
        <f>K30</f>
        <v/>
      </c>
    </row>
    <row r="7"/>
    <row r="8">
      <c r="A8" s="16">
        <f>"of "&amp;TEXT(K11,"$#,##0")&amp;" expected"</f>
        <v/>
      </c>
      <c r="C8" s="16">
        <f>"Gross "&amp;TEXT(K25,"$#,##0")&amp;" less "&amp;TEXT(K26,"$#,##0")</f>
        <v/>
      </c>
      <c r="E8" s="16">
        <f>"of "&amp;TEXT(SUM(C12:C20),"$#,##0")&amp;" planned"</f>
        <v/>
      </c>
      <c r="G8" s="16">
        <f>"Goal "&amp;TEXT(K12+K13,"$#,##0")</f>
        <v/>
      </c>
      <c r="J8" s="16" t="inlineStr">
        <is>
          <t>After spending and goals</t>
        </is>
      </c>
    </row>
    <row r="10">
      <c r="A10" s="3" t="inlineStr">
        <is>
          <t>Budget by household or person — edit yellow Budget cells</t>
        </is>
      </c>
      <c r="J10" s="17" t="inlineStr">
        <is>
          <t>Month setup &amp; verification</t>
        </is>
      </c>
      <c r="K10" s="18" t="n"/>
    </row>
    <row r="11">
      <c r="A11" s="19" t="inlineStr">
        <is>
          <t>Budget For</t>
        </is>
      </c>
      <c r="B11" s="19" t="inlineStr">
        <is>
          <t>Category</t>
        </is>
      </c>
      <c r="C11" s="19" t="inlineStr">
        <is>
          <t>Budget</t>
        </is>
      </c>
      <c r="D11" s="19" t="inlineStr">
        <is>
          <t>Gross Spend</t>
        </is>
      </c>
      <c r="E11" s="19" t="inlineStr">
        <is>
          <t>Reimbursed</t>
        </is>
      </c>
      <c r="F11" s="19" t="inlineStr">
        <is>
          <t>Net Spend</t>
        </is>
      </c>
      <c r="G11" s="19" t="inlineStr">
        <is>
          <t>Remaining</t>
        </is>
      </c>
      <c r="H11" s="19" t="inlineStr">
        <is>
          <t>% Used</t>
        </is>
      </c>
      <c r="J11" s="20" t="inlineStr">
        <is>
          <t>Expected income</t>
        </is>
      </c>
      <c r="K11" s="21" t="n">
        <v>6700</v>
      </c>
    </row>
    <row r="12">
      <c r="A12" s="18" t="inlineStr">
        <is>
          <t>Household</t>
        </is>
      </c>
      <c r="B12" s="18" t="inlineStr">
        <is>
          <t>Rent</t>
        </is>
      </c>
      <c r="C12" s="22" t="n">
        <v>2200</v>
      </c>
      <c r="D12" s="23">
        <f>-SUMIFS(tblCoupleTransactions[Amount],tblCoupleTransactions[Final Type],"Expense",tblCoupleTransactions[Final Category],$B12,tblCoupleTransactions[Budget For],$A12,tblCoupleTransactions[Applies To Month],$M$1)</f>
        <v/>
      </c>
      <c r="E12" s="23">
        <f>SUMIFS(tblCoupleTransactions[Amount],tblCoupleTransactions[Final Type],"Reimbursement Received",tblCoupleTransactions[Final Category],$B12,tblCoupleTransactions[Budget For],$A12,tblCoupleTransactions[Applies To Month],$M$1)</f>
        <v/>
      </c>
      <c r="F12" s="23">
        <f>D12-E12</f>
        <v/>
      </c>
      <c r="G12" s="23">
        <f>C12-F12</f>
        <v/>
      </c>
      <c r="H12" s="24">
        <f>IFERROR(F12/C12,0)</f>
        <v/>
      </c>
      <c r="J12" s="20" t="inlineStr">
        <is>
          <t>Sinking-fund goal</t>
        </is>
      </c>
      <c r="K12" s="21" t="n">
        <v>500</v>
      </c>
    </row>
    <row r="13">
      <c r="A13" s="18" t="inlineStr">
        <is>
          <t>Household</t>
        </is>
      </c>
      <c r="B13" s="18" t="inlineStr">
        <is>
          <t>Groceries</t>
        </is>
      </c>
      <c r="C13" s="22" t="n">
        <v>700</v>
      </c>
      <c r="D13" s="23">
        <f>-SUMIFS(tblCoupleTransactions[Amount],tblCoupleTransactions[Final Type],"Expense",tblCoupleTransactions[Final Category],$B13,tblCoupleTransactions[Budget For],$A13,tblCoupleTransactions[Applies To Month],$M$1)</f>
        <v/>
      </c>
      <c r="E13" s="23">
        <f>SUMIFS(tblCoupleTransactions[Amount],tblCoupleTransactions[Final Type],"Reimbursement Received",tblCoupleTransactions[Final Category],$B13,tblCoupleTransactions[Budget For],$A13,tblCoupleTransactions[Applies To Month],$M$1)</f>
        <v/>
      </c>
      <c r="F13" s="23">
        <f>D13-E13</f>
        <v/>
      </c>
      <c r="G13" s="23">
        <f>C13-F13</f>
        <v/>
      </c>
      <c r="H13" s="24">
        <f>IFERROR(F13/C13,0)</f>
        <v/>
      </c>
      <c r="J13" s="20" t="inlineStr">
        <is>
          <t>Investment goal</t>
        </is>
      </c>
      <c r="K13" s="21" t="n">
        <v>1000</v>
      </c>
    </row>
    <row r="14">
      <c r="A14" s="18" t="inlineStr">
        <is>
          <t>Household</t>
        </is>
      </c>
      <c r="B14" s="18" t="inlineStr">
        <is>
          <t>Utilities</t>
        </is>
      </c>
      <c r="C14" s="22" t="n">
        <v>300</v>
      </c>
      <c r="D14" s="23">
        <f>-SUMIFS(tblCoupleTransactions[Amount],tblCoupleTransactions[Final Type],"Expense",tblCoupleTransactions[Final Category],$B14,tblCoupleTransactions[Budget For],$A14,tblCoupleTransactions[Applies To Month],$M$1)</f>
        <v/>
      </c>
      <c r="E14" s="23">
        <f>SUMIFS(tblCoupleTransactions[Amount],tblCoupleTransactions[Final Type],"Reimbursement Received",tblCoupleTransactions[Final Category],$B14,tblCoupleTransactions[Budget For],$A14,tblCoupleTransactions[Applies To Month],$M$1)</f>
        <v/>
      </c>
      <c r="F14" s="23">
        <f>D14-E14</f>
        <v/>
      </c>
      <c r="G14" s="23">
        <f>C14-F14</f>
        <v/>
      </c>
      <c r="H14" s="24">
        <f>IFERROR(F14/C14,0)</f>
        <v/>
      </c>
      <c r="J14" s="20" t="inlineStr">
        <is>
          <t>Transactions through</t>
        </is>
      </c>
      <c r="K14" s="25">
        <f>IFERROR(AGGREGATE(14,6,tblCoupleTransactions[Posted Date]/(tblCoupleTransactions[Applies To Month]=$M$1),1),"")</f>
        <v/>
      </c>
    </row>
    <row r="15">
      <c r="A15" s="18" t="inlineStr">
        <is>
          <t>Household</t>
        </is>
      </c>
      <c r="B15" s="18" t="inlineStr">
        <is>
          <t>Restaurants</t>
        </is>
      </c>
      <c r="C15" s="22" t="n">
        <v>300</v>
      </c>
      <c r="D15" s="23">
        <f>-SUMIFS(tblCoupleTransactions[Amount],tblCoupleTransactions[Final Type],"Expense",tblCoupleTransactions[Final Category],$B15,tblCoupleTransactions[Budget For],$A15,tblCoupleTransactions[Applies To Month],$M$1)</f>
        <v/>
      </c>
      <c r="E15" s="23">
        <f>SUMIFS(tblCoupleTransactions[Amount],tblCoupleTransactions[Final Type],"Reimbursement Received",tblCoupleTransactions[Final Category],$B15,tblCoupleTransactions[Budget For],$A15,tblCoupleTransactions[Applies To Month],$M$1)</f>
        <v/>
      </c>
      <c r="F15" s="23">
        <f>D15-E15</f>
        <v/>
      </c>
      <c r="G15" s="23">
        <f>C15-F15</f>
        <v/>
      </c>
      <c r="H15" s="24">
        <f>IFERROR(F15/C15,0)</f>
        <v/>
      </c>
      <c r="J15" s="20" t="inlineStr">
        <is>
          <t>Transactions</t>
        </is>
      </c>
      <c r="K15" s="26">
        <f>COUNTIFS(tblCoupleTransactions[Applies To Month],$M$1,tblCoupleTransactions[Review Status],"&lt;&gt;Excluded")</f>
        <v/>
      </c>
    </row>
    <row r="16">
      <c r="A16" s="18" t="inlineStr">
        <is>
          <t>Household</t>
        </is>
      </c>
      <c r="B16" s="18" t="inlineStr">
        <is>
          <t>Transportation</t>
        </is>
      </c>
      <c r="C16" s="22" t="n">
        <v>300</v>
      </c>
      <c r="D16" s="23">
        <f>-SUMIFS(tblCoupleTransactions[Amount],tblCoupleTransactions[Final Type],"Expense",tblCoupleTransactions[Final Category],$B16,tblCoupleTransactions[Budget For],$A16,tblCoupleTransactions[Applies To Month],$M$1)</f>
        <v/>
      </c>
      <c r="E16" s="23">
        <f>SUMIFS(tblCoupleTransactions[Amount],tblCoupleTransactions[Final Type],"Reimbursement Received",tblCoupleTransactions[Final Category],$B16,tblCoupleTransactions[Budget For],$A16,tblCoupleTransactions[Applies To Month],$M$1)</f>
        <v/>
      </c>
      <c r="F16" s="23">
        <f>D16-E16</f>
        <v/>
      </c>
      <c r="G16" s="23">
        <f>C16-F16</f>
        <v/>
      </c>
      <c r="H16" s="24">
        <f>IFERROR(F16/C16,0)</f>
        <v/>
      </c>
      <c r="J16" s="20" t="inlineStr">
        <is>
          <t>Verified</t>
        </is>
      </c>
      <c r="K16" s="26">
        <f>COUNTIFS(tblCoupleTransactions[Applies To Month],$M$1,tblCoupleTransactions[Review Status],"Verified")</f>
        <v/>
      </c>
    </row>
    <row r="17">
      <c r="A17" s="18" t="inlineStr">
        <is>
          <t>Household</t>
        </is>
      </c>
      <c r="B17" s="18" t="inlineStr">
        <is>
          <t>Subscriptions</t>
        </is>
      </c>
      <c r="C17" s="22" t="n">
        <v>80</v>
      </c>
      <c r="D17" s="23">
        <f>-SUMIFS(tblCoupleTransactions[Amount],tblCoupleTransactions[Final Type],"Expense",tblCoupleTransactions[Final Category],$B17,tblCoupleTransactions[Budget For],$A17,tblCoupleTransactions[Applies To Month],$M$1)</f>
        <v/>
      </c>
      <c r="E17" s="23">
        <f>SUMIFS(tblCoupleTransactions[Amount],tblCoupleTransactions[Final Type],"Reimbursement Received",tblCoupleTransactions[Final Category],$B17,tblCoupleTransactions[Budget For],$A17,tblCoupleTransactions[Applies To Month],$M$1)</f>
        <v/>
      </c>
      <c r="F17" s="23">
        <f>D17-E17</f>
        <v/>
      </c>
      <c r="G17" s="23">
        <f>C17-F17</f>
        <v/>
      </c>
      <c r="H17" s="24">
        <f>IFERROR(F17/C17,0)</f>
        <v/>
      </c>
      <c r="J17" s="20" t="inlineStr">
        <is>
          <t>Needs review</t>
        </is>
      </c>
      <c r="K17" s="26">
        <f>K15-K16</f>
        <v/>
      </c>
    </row>
    <row r="18">
      <c r="A18" s="18" t="inlineStr">
        <is>
          <t>Household</t>
        </is>
      </c>
      <c r="B18" s="18" t="inlineStr">
        <is>
          <t>Household Supplies</t>
        </is>
      </c>
      <c r="C18" s="22" t="n">
        <v>150</v>
      </c>
      <c r="D18" s="23">
        <f>-SUMIFS(tblCoupleTransactions[Amount],tblCoupleTransactions[Final Type],"Expense",tblCoupleTransactions[Final Category],$B18,tblCoupleTransactions[Budget For],$A18,tblCoupleTransactions[Applies To Month],$M$1)</f>
        <v/>
      </c>
      <c r="E18" s="23">
        <f>SUMIFS(tblCoupleTransactions[Amount],tblCoupleTransactions[Final Type],"Reimbursement Received",tblCoupleTransactions[Final Category],$B18,tblCoupleTransactions[Budget For],$A18,tblCoupleTransactions[Applies To Month],$M$1)</f>
        <v/>
      </c>
      <c r="F18" s="23">
        <f>D18-E18</f>
        <v/>
      </c>
      <c r="G18" s="23">
        <f>C18-F18</f>
        <v/>
      </c>
      <c r="H18" s="24">
        <f>IFERROR(F18/C18,0)</f>
        <v/>
      </c>
      <c r="J18" s="20" t="inlineStr">
        <is>
          <t>Statement difference</t>
        </is>
      </c>
      <c r="K18" s="27">
        <f>SUMPRODUCT(ABS(G25:G30))</f>
        <v/>
      </c>
    </row>
    <row r="19">
      <c r="A19" s="18" t="inlineStr">
        <is>
          <t>Partner 1</t>
        </is>
      </c>
      <c r="B19" s="18" t="inlineStr">
        <is>
          <t>Personal</t>
        </is>
      </c>
      <c r="C19" s="22" t="n">
        <v>250</v>
      </c>
      <c r="D19" s="23">
        <f>-SUMIFS(tblCoupleTransactions[Amount],tblCoupleTransactions[Final Type],"Expense",tblCoupleTransactions[Final Category],$B19,tblCoupleTransactions[Budget For],$A19,tblCoupleTransactions[Applies To Month],$M$1)</f>
        <v/>
      </c>
      <c r="E19" s="23">
        <f>SUMIFS(tblCoupleTransactions[Amount],tblCoupleTransactions[Final Type],"Reimbursement Received",tblCoupleTransactions[Final Category],$B19,tblCoupleTransactions[Budget For],$A19,tblCoupleTransactions[Applies To Month],$M$1)</f>
        <v/>
      </c>
      <c r="F19" s="23">
        <f>D19-E19</f>
        <v/>
      </c>
      <c r="G19" s="23">
        <f>C19-F19</f>
        <v/>
      </c>
      <c r="H19" s="24">
        <f>IFERROR(F19/C19,0)</f>
        <v/>
      </c>
      <c r="J19" s="20" t="inlineStr">
        <is>
          <t>Month status</t>
        </is>
      </c>
      <c r="K19" s="28">
        <f>IF(AND(K17=0,K18&lt;0.01),"RECONCILED","NEEDS REVIEW")</f>
        <v/>
      </c>
    </row>
    <row r="20">
      <c r="A20" s="18" t="inlineStr">
        <is>
          <t>Partner 2</t>
        </is>
      </c>
      <c r="B20" s="18" t="inlineStr">
        <is>
          <t>Personal</t>
        </is>
      </c>
      <c r="C20" s="22" t="n">
        <v>250</v>
      </c>
      <c r="D20" s="23">
        <f>-SUMIFS(tblCoupleTransactions[Amount],tblCoupleTransactions[Final Type],"Expense",tblCoupleTransactions[Final Category],$B20,tblCoupleTransactions[Budget For],$A20,tblCoupleTransactions[Applies To Month],$M$1)</f>
        <v/>
      </c>
      <c r="E20" s="23">
        <f>SUMIFS(tblCoupleTransactions[Amount],tblCoupleTransactions[Final Type],"Reimbursement Received",tblCoupleTransactions[Final Category],$B20,tblCoupleTransactions[Budget For],$A20,tblCoupleTransactions[Applies To Month],$M$1)</f>
        <v/>
      </c>
      <c r="F20" s="23">
        <f>D20-E20</f>
        <v/>
      </c>
      <c r="G20" s="23">
        <f>C20-F20</f>
        <v/>
      </c>
      <c r="H20" s="24">
        <f>IFERROR(F20/C20,0)</f>
        <v/>
      </c>
    </row>
    <row r="21">
      <c r="A21" s="29" t="inlineStr">
        <is>
          <t>TOTAL</t>
        </is>
      </c>
      <c r="B21" s="18" t="n"/>
      <c r="C21" s="30">
        <f>SUM(C12:C20)</f>
        <v/>
      </c>
      <c r="D21" s="30">
        <f>SUM(D12:D20)</f>
        <v/>
      </c>
      <c r="E21" s="30">
        <f>SUM(E12:E20)</f>
        <v/>
      </c>
      <c r="F21" s="30">
        <f>SUM(F12:F20)</f>
        <v/>
      </c>
      <c r="G21" s="30">
        <f>SUM(G12:G20)</f>
        <v/>
      </c>
      <c r="H21" s="31">
        <f>IFERROR(F21/C21,0)</f>
        <v/>
      </c>
    </row>
    <row r="23">
      <c r="A23" s="3" t="inlineStr">
        <is>
          <t>Bank statement check — internal transfers count here, but not in spending</t>
        </is>
      </c>
      <c r="J23" s="17" t="inlineStr">
        <is>
          <t>How family income was used</t>
        </is>
      </c>
      <c r="K23" s="18" t="n"/>
    </row>
    <row r="24">
      <c r="A24" s="19" t="inlineStr">
        <is>
          <t>Account ID</t>
        </is>
      </c>
      <c r="B24" s="19" t="inlineStr">
        <is>
          <t>Owner</t>
        </is>
      </c>
      <c r="C24" s="19" t="inlineStr">
        <is>
          <t>Opening</t>
        </is>
      </c>
      <c r="D24" s="19" t="inlineStr">
        <is>
          <t>Imported Activity</t>
        </is>
      </c>
      <c r="E24" s="19" t="inlineStr">
        <is>
          <t>Calculated Ending</t>
        </is>
      </c>
      <c r="F24" s="19" t="inlineStr">
        <is>
          <t>Statement Ending</t>
        </is>
      </c>
      <c r="G24" s="19" t="inlineStr">
        <is>
          <t>Difference</t>
        </is>
      </c>
      <c r="H24" s="19" t="inlineStr">
        <is>
          <t>Status</t>
        </is>
      </c>
      <c r="J24" s="20" t="inlineStr">
        <is>
          <t>Income received</t>
        </is>
      </c>
      <c r="K24" s="32">
        <f>SUMIFS(tblCoupleTransactions[Amount],tblCoupleTransactions[Final Type],"Income",tblCoupleTransactions[Applies To Month],$M$1)</f>
        <v/>
      </c>
    </row>
    <row r="25">
      <c r="A25" s="18" t="inlineStr">
        <is>
          <t>CIBC-P1-CHQ</t>
        </is>
      </c>
      <c r="B25" s="18" t="inlineStr">
        <is>
          <t>Partner 1</t>
        </is>
      </c>
      <c r="C25" s="33" t="n">
        <v>2520</v>
      </c>
      <c r="D25" s="34">
        <f>SUMIFS(tblCoupleTransactions[Amount],tblCoupleTransactions[Account ID],$A25,tblCoupleTransactions[Posted Date],"&gt;="&amp;$M$1,tblCoupleTransactions[Posted Date],"&lt;"&amp;EDATE($M$1,1))</f>
        <v/>
      </c>
      <c r="E25" s="34">
        <f>C25+D25</f>
        <v/>
      </c>
      <c r="F25" s="33" t="n">
        <v>2520</v>
      </c>
      <c r="G25" s="34">
        <f>F25-E25</f>
        <v/>
      </c>
      <c r="H25" s="20">
        <f>IF(ABS(G25)&lt;0.01,"Matched","Check")</f>
        <v/>
      </c>
      <c r="J25" s="20" t="inlineStr">
        <is>
          <t>Gross spending</t>
        </is>
      </c>
      <c r="K25" s="32">
        <f>-SUMIFS(tblCoupleTransactions[Amount],tblCoupleTransactions[Final Type],"Expense",tblCoupleTransactions[Applies To Month],$M$1)</f>
        <v/>
      </c>
    </row>
    <row r="26">
      <c r="A26" s="18" t="inlineStr">
        <is>
          <t>RBC-P2-CHQ</t>
        </is>
      </c>
      <c r="B26" s="18" t="inlineStr">
        <is>
          <t>Partner 2</t>
        </is>
      </c>
      <c r="C26" s="33" t="n">
        <v>2340</v>
      </c>
      <c r="D26" s="34">
        <f>SUMIFS(tblCoupleTransactions[Amount],tblCoupleTransactions[Account ID],$A26,tblCoupleTransactions[Posted Date],"&gt;="&amp;$M$1,tblCoupleTransactions[Posted Date],"&lt;"&amp;EDATE($M$1,1))</f>
        <v/>
      </c>
      <c r="E26" s="34">
        <f>C26+D26</f>
        <v/>
      </c>
      <c r="F26" s="33" t="n">
        <v>2340</v>
      </c>
      <c r="G26" s="34">
        <f>F26-E26</f>
        <v/>
      </c>
      <c r="H26" s="20">
        <f>IF(ABS(G26)&lt;0.01,"Matched","Check")</f>
        <v/>
      </c>
      <c r="J26" s="20" t="inlineStr">
        <is>
          <t>Reimbursements</t>
        </is>
      </c>
      <c r="K26" s="32">
        <f>SUMIFS(tblCoupleTransactions[Amount],tblCoupleTransactions[Final Type],"Reimbursement Received",tblCoupleTransactions[Applies To Month],$M$1)</f>
        <v/>
      </c>
    </row>
    <row r="27">
      <c r="A27" s="18" t="inlineStr">
        <is>
          <t>CIBC-JOINT-CHQ</t>
        </is>
      </c>
      <c r="B27" s="18" t="inlineStr">
        <is>
          <t>Joint</t>
        </is>
      </c>
      <c r="C27" s="33" t="n">
        <v>2810</v>
      </c>
      <c r="D27" s="34">
        <f>SUMIFS(tblCoupleTransactions[Amount],tblCoupleTransactions[Account ID],$A27,tblCoupleTransactions[Posted Date],"&gt;="&amp;$M$1,tblCoupleTransactions[Posted Date],"&lt;"&amp;EDATE($M$1,1))</f>
        <v/>
      </c>
      <c r="E27" s="34">
        <f>C27+D27</f>
        <v/>
      </c>
      <c r="F27" s="33" t="n">
        <v>4510</v>
      </c>
      <c r="G27" s="34">
        <f>F27-E27</f>
        <v/>
      </c>
      <c r="H27" s="20">
        <f>IF(ABS(G27)&lt;0.01,"Matched","Check")</f>
        <v/>
      </c>
      <c r="J27" s="20" t="inlineStr">
        <is>
          <t>Net spending</t>
        </is>
      </c>
      <c r="K27" s="32">
        <f>K25-K26</f>
        <v/>
      </c>
    </row>
    <row r="28">
      <c r="A28" s="18" t="inlineStr">
        <is>
          <t>RBC-JOINT-SAV</t>
        </is>
      </c>
      <c r="B28" s="18" t="inlineStr">
        <is>
          <t>Joint</t>
        </is>
      </c>
      <c r="C28" s="33" t="n">
        <v>5000</v>
      </c>
      <c r="D28" s="34">
        <f>SUMIFS(tblCoupleTransactions[Amount],tblCoupleTransactions[Account ID],$A28,tblCoupleTransactions[Posted Date],"&gt;="&amp;$M$1,tblCoupleTransactions[Posted Date],"&lt;"&amp;EDATE($M$1,1))</f>
        <v/>
      </c>
      <c r="E28" s="34">
        <f>C28+D28</f>
        <v/>
      </c>
      <c r="F28" s="33" t="n">
        <v>5500</v>
      </c>
      <c r="G28" s="34">
        <f>F28-E28</f>
        <v/>
      </c>
      <c r="H28" s="20">
        <f>IF(ABS(G28)&lt;0.01,"Matched","Check")</f>
        <v/>
      </c>
      <c r="J28" s="20" t="inlineStr">
        <is>
          <t>Sinking funds</t>
        </is>
      </c>
      <c r="K28" s="32">
        <f>-SUMIFS(tblCoupleTransactions[Amount],tblCoupleTransactions[Final Type],"Sinking Fund Contribution",tblCoupleTransactions[Applies To Month],$M$1)</f>
        <v/>
      </c>
    </row>
    <row r="29">
      <c r="A29" s="18" t="inlineStr">
        <is>
          <t>CIBC-P1-VISA</t>
        </is>
      </c>
      <c r="B29" s="18" t="inlineStr">
        <is>
          <t>Partner 1</t>
        </is>
      </c>
      <c r="C29" s="33" t="n">
        <v>-300</v>
      </c>
      <c r="D29" s="34">
        <f>SUMIFS(tblCoupleTransactions[Amount],tblCoupleTransactions[Account ID],$A29,tblCoupleTransactions[Posted Date],"&gt;="&amp;$M$1,tblCoupleTransactions[Posted Date],"&lt;"&amp;EDATE($M$1,1))</f>
        <v/>
      </c>
      <c r="E29" s="34">
        <f>C29+D29</f>
        <v/>
      </c>
      <c r="F29" s="33" t="n">
        <v>-350</v>
      </c>
      <c r="G29" s="34">
        <f>F29-E29</f>
        <v/>
      </c>
      <c r="H29" s="20">
        <f>IF(ABS(G29)&lt;0.01,"Matched","Check")</f>
        <v/>
      </c>
      <c r="J29" s="20" t="inlineStr">
        <is>
          <t>Investments</t>
        </is>
      </c>
      <c r="K29" s="32">
        <f>-SUMIFS(tblCoupleTransactions[Amount],tblCoupleTransactions[Final Type],"Investment Contribution",tblCoupleTransactions[Applies To Month],$M$1)</f>
        <v/>
      </c>
    </row>
    <row r="30">
      <c r="A30" s="18" t="inlineStr">
        <is>
          <t>RBC-P2-VISA</t>
        </is>
      </c>
      <c r="B30" s="18" t="inlineStr">
        <is>
          <t>Partner 2</t>
        </is>
      </c>
      <c r="C30" s="33" t="n">
        <v>-150</v>
      </c>
      <c r="D30" s="34">
        <f>SUMIFS(tblCoupleTransactions[Amount],tblCoupleTransactions[Account ID],$A30,tblCoupleTransactions[Posted Date],"&gt;="&amp;$M$1,tblCoupleTransactions[Posted Date],"&lt;"&amp;EDATE($M$1,1))</f>
        <v/>
      </c>
      <c r="E30" s="34">
        <f>C30+D30</f>
        <v/>
      </c>
      <c r="F30" s="33" t="n">
        <v>20</v>
      </c>
      <c r="G30" s="34">
        <f>F30-E30</f>
        <v/>
      </c>
      <c r="H30" s="20">
        <f>IF(ABS(G30)&lt;0.01,"Matched","Check")</f>
        <v/>
      </c>
      <c r="J30" s="35" t="inlineStr">
        <is>
          <t>Unallocated income</t>
        </is>
      </c>
      <c r="K30" s="36">
        <f>K24-K27-K28-K29</f>
        <v/>
      </c>
    </row>
    <row r="33">
      <c r="A33" s="3" t="inlineStr">
        <is>
          <t>Who the spending was for</t>
        </is>
      </c>
      <c r="J33" s="17" t="inlineStr">
        <is>
          <t>Current family position</t>
        </is>
      </c>
      <c r="K33" s="18" t="n"/>
    </row>
    <row r="34">
      <c r="A34" s="37" t="inlineStr">
        <is>
          <t>Budget For</t>
        </is>
      </c>
      <c r="B34" s="37" t="inlineStr">
        <is>
          <t>Budget</t>
        </is>
      </c>
      <c r="C34" s="37" t="inlineStr">
        <is>
          <t>Net Spend</t>
        </is>
      </c>
      <c r="D34" s="37" t="inlineStr">
        <is>
          <t>Remaining</t>
        </is>
      </c>
      <c r="E34" s="37" t="inlineStr">
        <is>
          <t>Meaning</t>
        </is>
      </c>
      <c r="J34" s="20" t="inlineStr">
        <is>
          <t>Cash</t>
        </is>
      </c>
      <c r="K34" s="38">
        <f>SUMIFS(tblAccounts[Latest Balance],tblAccounts[Type],"Chequing")+SUMIFS(tblAccounts[Latest Balance],tblAccounts[Type],"Savings")</f>
        <v/>
      </c>
    </row>
    <row r="35">
      <c r="A35" s="18" t="inlineStr">
        <is>
          <t>Household</t>
        </is>
      </c>
      <c r="B35" s="39">
        <f>SUMIF($A$12:$A$20,A35,$C$12:$C$20)</f>
        <v/>
      </c>
      <c r="C35" s="39">
        <f>SUMIF($A$12:$A$20,A35,$F$12:$F$20)</f>
        <v/>
      </c>
      <c r="D35" s="39">
        <f>B35-C35</f>
        <v/>
      </c>
      <c r="E35" s="18" t="inlineStr">
        <is>
          <t>Shared living costs</t>
        </is>
      </c>
      <c r="J35" s="20" t="inlineStr">
        <is>
          <t>Investments</t>
        </is>
      </c>
      <c r="K35" s="38">
        <f>SUMIFS(tblAccounts[Latest Balance],tblAccounts[Type],"Investment")</f>
        <v/>
      </c>
    </row>
    <row r="36">
      <c r="A36" s="18" t="inlineStr">
        <is>
          <t>Partner 1</t>
        </is>
      </c>
      <c r="B36" s="39">
        <f>SUMIF($A$12:$A$20,A36,$C$12:$C$20)</f>
        <v/>
      </c>
      <c r="C36" s="39">
        <f>SUMIF($A$12:$A$20,A36,$F$12:$F$20)</f>
        <v/>
      </c>
      <c r="D36" s="39">
        <f>B36-C36</f>
        <v/>
      </c>
      <c r="E36" s="18" t="inlineStr">
        <is>
          <t>Partner 1 personal spending</t>
        </is>
      </c>
      <c r="J36" s="20" t="inlineStr">
        <is>
          <t>Credit-card debt</t>
        </is>
      </c>
      <c r="K36" s="38">
        <f>-SUMIFS(tblAccounts[Latest Balance],tblAccounts[Type],"Credit Card")</f>
        <v/>
      </c>
    </row>
    <row r="37">
      <c r="A37" s="18" t="inlineStr">
        <is>
          <t>Partner 2</t>
        </is>
      </c>
      <c r="B37" s="39">
        <f>SUMIF($A$12:$A$20,A37,$C$12:$C$20)</f>
        <v/>
      </c>
      <c r="C37" s="39">
        <f>SUMIF($A$12:$A$20,A37,$F$12:$F$20)</f>
        <v/>
      </c>
      <c r="D37" s="39">
        <f>B37-C37</f>
        <v/>
      </c>
      <c r="E37" s="18" t="inlineStr">
        <is>
          <t>Partner 2 personal spending</t>
        </is>
      </c>
      <c r="J37" s="20" t="inlineStr">
        <is>
          <t>Net worth</t>
        </is>
      </c>
      <c r="K37" s="38">
        <f>SUMIFS(tblAccounts[Latest Balance],tblAccounts[Include in Net Worth],"Yes")</f>
        <v/>
      </c>
    </row>
    <row r="38">
      <c r="J38" s="20" t="inlineStr">
        <is>
          <t>Balances as of</t>
        </is>
      </c>
      <c r="K38" s="40">
        <f>MAX(tblAccounts[Balance As Of])</f>
        <v/>
      </c>
    </row>
    <row r="40" ht="28" customHeight="1">
      <c r="A40" s="41" t="inlineStr">
        <is>
          <t>A transfer between Partner 1, Partner 2, joint accounts, credit cards, or savings changes account balances—but not family spending.</t>
        </is>
      </c>
    </row>
  </sheetData>
  <mergeCells count="25">
    <mergeCell ref="E6:F7"/>
    <mergeCell ref="J5:K5"/>
    <mergeCell ref="G6:H7"/>
    <mergeCell ref="C5:D5"/>
    <mergeCell ref="J10:K10"/>
    <mergeCell ref="E5:F5"/>
    <mergeCell ref="G8:H8"/>
    <mergeCell ref="A1:K1"/>
    <mergeCell ref="E8:F8"/>
    <mergeCell ref="G3:K3"/>
    <mergeCell ref="C6:D7"/>
    <mergeCell ref="A5:B5"/>
    <mergeCell ref="A2:K2"/>
    <mergeCell ref="G5:H5"/>
    <mergeCell ref="A33:E33"/>
    <mergeCell ref="A23:H23"/>
    <mergeCell ref="A8:B8"/>
    <mergeCell ref="C8:D8"/>
    <mergeCell ref="J6:K7"/>
    <mergeCell ref="A10:H10"/>
    <mergeCell ref="A6:B7"/>
    <mergeCell ref="J33:K33"/>
    <mergeCell ref="J23:K23"/>
    <mergeCell ref="J8:K8"/>
    <mergeCell ref="A40:K40"/>
  </mergeCells>
  <conditionalFormatting sqref="G12:G21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H12:H21">
    <cfRule type="dataBar" priority="3">
      <dataBar>
        <cfvo type="num" val="0"/>
        <cfvo type="num" val="1"/>
        <color rgb="005B9BD5"/>
      </dataBar>
    </cfRule>
  </conditionalFormatting>
  <conditionalFormatting sqref="K19">
    <cfRule type="expression" priority="4" dxfId="2">
      <formula>K19="RECONCILED"</formula>
    </cfRule>
    <cfRule type="expression" priority="5" dxfId="3">
      <formula>K19&lt;&gt;"RECONCILED"</formula>
    </cfRule>
  </conditionalFormatting>
  <conditionalFormatting sqref="G25:G30">
    <cfRule type="expression" priority="6" dxfId="1">
      <formula>ABS(G25)&lt;0.01</formula>
    </cfRule>
    <cfRule type="expression" priority="7" dxfId="4">
      <formula>ABS(G25)&gt;=0.01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</hyperlink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M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2" customWidth="1" min="8" max="8"/>
    <col width="3" customWidth="1" min="9" max="9"/>
    <col width="23" customWidth="1" min="10" max="10"/>
    <col width="20" customWidth="1" min="11" max="11"/>
    <col hidden="1" width="13" customWidth="1" min="13" max="13"/>
  </cols>
  <sheetData>
    <row r="1" ht="32" customHeight="1">
      <c r="A1" s="9" t="inlineStr">
        <is>
          <t>September 2026 — Couple Budget Check</t>
        </is>
      </c>
      <c r="M1" s="10" t="n">
        <v>46266</v>
      </c>
    </row>
    <row r="2">
      <c r="A2" s="11" t="inlineStr">
        <is>
          <t>Family totals include both partners. Budget For separates shared household spending from each partner's personal spending.</t>
        </is>
      </c>
    </row>
    <row r="3">
      <c r="A3" s="12" t="inlineStr">
        <is>
          <t>← Start Here</t>
        </is>
      </c>
      <c r="B3" s="12" t="inlineStr">
        <is>
          <t>Accounts</t>
        </is>
      </c>
      <c r="C3" s="12" t="inlineStr">
        <is>
          <t>Transactions</t>
        </is>
      </c>
      <c r="D3" s="12" t="inlineStr">
        <is>
          <t>Review Log</t>
        </is>
      </c>
      <c r="E3" s="12" t="inlineStr">
        <is>
          <t>October</t>
        </is>
      </c>
      <c r="G3" s="13" t="inlineStr">
        <is>
          <t>Yellow = editable   |   Blue = calculated</t>
        </is>
      </c>
    </row>
    <row r="5">
      <c r="A5" s="14" t="inlineStr">
        <is>
          <t>Income Received</t>
        </is>
      </c>
      <c r="C5" s="14" t="inlineStr">
        <is>
          <t>Net Spending</t>
        </is>
      </c>
      <c r="E5" s="14" t="inlineStr">
        <is>
          <t>Budget Remaining</t>
        </is>
      </c>
      <c r="G5" s="14" t="inlineStr">
        <is>
          <t>Goals Funded</t>
        </is>
      </c>
      <c r="J5" s="14" t="inlineStr">
        <is>
          <t>Unallocated Income</t>
        </is>
      </c>
    </row>
    <row r="6">
      <c r="A6" s="15">
        <f>K24</f>
        <v/>
      </c>
      <c r="C6" s="15">
        <f>K27</f>
        <v/>
      </c>
      <c r="E6" s="15">
        <f>SUM(G12:G20)</f>
        <v/>
      </c>
      <c r="G6" s="15">
        <f>K28+K29</f>
        <v/>
      </c>
      <c r="J6" s="15">
        <f>K30</f>
        <v/>
      </c>
    </row>
    <row r="7"/>
    <row r="8">
      <c r="A8" s="16">
        <f>"of "&amp;TEXT(K11,"$#,##0")&amp;" expected"</f>
        <v/>
      </c>
      <c r="C8" s="16">
        <f>"Gross "&amp;TEXT(K25,"$#,##0")&amp;" less "&amp;TEXT(K26,"$#,##0")</f>
        <v/>
      </c>
      <c r="E8" s="16">
        <f>"of "&amp;TEXT(SUM(C12:C20),"$#,##0")&amp;" planned"</f>
        <v/>
      </c>
      <c r="G8" s="16">
        <f>"Goal "&amp;TEXT(K12+K13,"$#,##0")</f>
        <v/>
      </c>
      <c r="J8" s="16" t="inlineStr">
        <is>
          <t>After spending and goals</t>
        </is>
      </c>
    </row>
    <row r="10">
      <c r="A10" s="3" t="inlineStr">
        <is>
          <t>Budget by household or person — edit yellow Budget cells</t>
        </is>
      </c>
      <c r="J10" s="17" t="inlineStr">
        <is>
          <t>Month setup &amp; verification</t>
        </is>
      </c>
      <c r="K10" s="18" t="n"/>
    </row>
    <row r="11">
      <c r="A11" s="19" t="inlineStr">
        <is>
          <t>Budget For</t>
        </is>
      </c>
      <c r="B11" s="19" t="inlineStr">
        <is>
          <t>Category</t>
        </is>
      </c>
      <c r="C11" s="19" t="inlineStr">
        <is>
          <t>Budget</t>
        </is>
      </c>
      <c r="D11" s="19" t="inlineStr">
        <is>
          <t>Gross Spend</t>
        </is>
      </c>
      <c r="E11" s="19" t="inlineStr">
        <is>
          <t>Reimbursed</t>
        </is>
      </c>
      <c r="F11" s="19" t="inlineStr">
        <is>
          <t>Net Spend</t>
        </is>
      </c>
      <c r="G11" s="19" t="inlineStr">
        <is>
          <t>Remaining</t>
        </is>
      </c>
      <c r="H11" s="19" t="inlineStr">
        <is>
          <t>% Used</t>
        </is>
      </c>
      <c r="J11" s="20" t="inlineStr">
        <is>
          <t>Expected income</t>
        </is>
      </c>
      <c r="K11" s="21" t="n">
        <v>6700</v>
      </c>
    </row>
    <row r="12">
      <c r="A12" s="18" t="inlineStr">
        <is>
          <t>Household</t>
        </is>
      </c>
      <c r="B12" s="18" t="inlineStr">
        <is>
          <t>Rent</t>
        </is>
      </c>
      <c r="C12" s="22" t="n">
        <v>2200</v>
      </c>
      <c r="D12" s="23">
        <f>-SUMIFS(tblCoupleTransactions[Amount],tblCoupleTransactions[Final Type],"Expense",tblCoupleTransactions[Final Category],$B12,tblCoupleTransactions[Budget For],$A12,tblCoupleTransactions[Applies To Month],$M$1)</f>
        <v/>
      </c>
      <c r="E12" s="23">
        <f>SUMIFS(tblCoupleTransactions[Amount],tblCoupleTransactions[Final Type],"Reimbursement Received",tblCoupleTransactions[Final Category],$B12,tblCoupleTransactions[Budget For],$A12,tblCoupleTransactions[Applies To Month],$M$1)</f>
        <v/>
      </c>
      <c r="F12" s="23">
        <f>D12-E12</f>
        <v/>
      </c>
      <c r="G12" s="23">
        <f>C12-F12</f>
        <v/>
      </c>
      <c r="H12" s="24">
        <f>IFERROR(F12/C12,0)</f>
        <v/>
      </c>
      <c r="J12" s="20" t="inlineStr">
        <is>
          <t>Sinking-fund goal</t>
        </is>
      </c>
      <c r="K12" s="21" t="n">
        <v>500</v>
      </c>
    </row>
    <row r="13">
      <c r="A13" s="18" t="inlineStr">
        <is>
          <t>Household</t>
        </is>
      </c>
      <c r="B13" s="18" t="inlineStr">
        <is>
          <t>Groceries</t>
        </is>
      </c>
      <c r="C13" s="22" t="n">
        <v>700</v>
      </c>
      <c r="D13" s="23">
        <f>-SUMIFS(tblCoupleTransactions[Amount],tblCoupleTransactions[Final Type],"Expense",tblCoupleTransactions[Final Category],$B13,tblCoupleTransactions[Budget For],$A13,tblCoupleTransactions[Applies To Month],$M$1)</f>
        <v/>
      </c>
      <c r="E13" s="23">
        <f>SUMIFS(tblCoupleTransactions[Amount],tblCoupleTransactions[Final Type],"Reimbursement Received",tblCoupleTransactions[Final Category],$B13,tblCoupleTransactions[Budget For],$A13,tblCoupleTransactions[Applies To Month],$M$1)</f>
        <v/>
      </c>
      <c r="F13" s="23">
        <f>D13-E13</f>
        <v/>
      </c>
      <c r="G13" s="23">
        <f>C13-F13</f>
        <v/>
      </c>
      <c r="H13" s="24">
        <f>IFERROR(F13/C13,0)</f>
        <v/>
      </c>
      <c r="J13" s="20" t="inlineStr">
        <is>
          <t>Investment goal</t>
        </is>
      </c>
      <c r="K13" s="21" t="n">
        <v>1000</v>
      </c>
    </row>
    <row r="14">
      <c r="A14" s="18" t="inlineStr">
        <is>
          <t>Household</t>
        </is>
      </c>
      <c r="B14" s="18" t="inlineStr">
        <is>
          <t>Utilities</t>
        </is>
      </c>
      <c r="C14" s="22" t="n">
        <v>300</v>
      </c>
      <c r="D14" s="23">
        <f>-SUMIFS(tblCoupleTransactions[Amount],tblCoupleTransactions[Final Type],"Expense",tblCoupleTransactions[Final Category],$B14,tblCoupleTransactions[Budget For],$A14,tblCoupleTransactions[Applies To Month],$M$1)</f>
        <v/>
      </c>
      <c r="E14" s="23">
        <f>SUMIFS(tblCoupleTransactions[Amount],tblCoupleTransactions[Final Type],"Reimbursement Received",tblCoupleTransactions[Final Category],$B14,tblCoupleTransactions[Budget For],$A14,tblCoupleTransactions[Applies To Month],$M$1)</f>
        <v/>
      </c>
      <c r="F14" s="23">
        <f>D14-E14</f>
        <v/>
      </c>
      <c r="G14" s="23">
        <f>C14-F14</f>
        <v/>
      </c>
      <c r="H14" s="24">
        <f>IFERROR(F14/C14,0)</f>
        <v/>
      </c>
      <c r="J14" s="20" t="inlineStr">
        <is>
          <t>Transactions through</t>
        </is>
      </c>
      <c r="K14" s="25">
        <f>IFERROR(AGGREGATE(14,6,tblCoupleTransactions[Posted Date]/(tblCoupleTransactions[Applies To Month]=$M$1),1),"")</f>
        <v/>
      </c>
    </row>
    <row r="15">
      <c r="A15" s="18" t="inlineStr">
        <is>
          <t>Household</t>
        </is>
      </c>
      <c r="B15" s="18" t="inlineStr">
        <is>
          <t>Restaurants</t>
        </is>
      </c>
      <c r="C15" s="22" t="n">
        <v>300</v>
      </c>
      <c r="D15" s="23">
        <f>-SUMIFS(tblCoupleTransactions[Amount],tblCoupleTransactions[Final Type],"Expense",tblCoupleTransactions[Final Category],$B15,tblCoupleTransactions[Budget For],$A15,tblCoupleTransactions[Applies To Month],$M$1)</f>
        <v/>
      </c>
      <c r="E15" s="23">
        <f>SUMIFS(tblCoupleTransactions[Amount],tblCoupleTransactions[Final Type],"Reimbursement Received",tblCoupleTransactions[Final Category],$B15,tblCoupleTransactions[Budget For],$A15,tblCoupleTransactions[Applies To Month],$M$1)</f>
        <v/>
      </c>
      <c r="F15" s="23">
        <f>D15-E15</f>
        <v/>
      </c>
      <c r="G15" s="23">
        <f>C15-F15</f>
        <v/>
      </c>
      <c r="H15" s="24">
        <f>IFERROR(F15/C15,0)</f>
        <v/>
      </c>
      <c r="J15" s="20" t="inlineStr">
        <is>
          <t>Transactions</t>
        </is>
      </c>
      <c r="K15" s="26">
        <f>COUNTIFS(tblCoupleTransactions[Applies To Month],$M$1,tblCoupleTransactions[Review Status],"&lt;&gt;Excluded")</f>
        <v/>
      </c>
    </row>
    <row r="16">
      <c r="A16" s="18" t="inlineStr">
        <is>
          <t>Household</t>
        </is>
      </c>
      <c r="B16" s="18" t="inlineStr">
        <is>
          <t>Transportation</t>
        </is>
      </c>
      <c r="C16" s="22" t="n">
        <v>300</v>
      </c>
      <c r="D16" s="23">
        <f>-SUMIFS(tblCoupleTransactions[Amount],tblCoupleTransactions[Final Type],"Expense",tblCoupleTransactions[Final Category],$B16,tblCoupleTransactions[Budget For],$A16,tblCoupleTransactions[Applies To Month],$M$1)</f>
        <v/>
      </c>
      <c r="E16" s="23">
        <f>SUMIFS(tblCoupleTransactions[Amount],tblCoupleTransactions[Final Type],"Reimbursement Received",tblCoupleTransactions[Final Category],$B16,tblCoupleTransactions[Budget For],$A16,tblCoupleTransactions[Applies To Month],$M$1)</f>
        <v/>
      </c>
      <c r="F16" s="23">
        <f>D16-E16</f>
        <v/>
      </c>
      <c r="G16" s="23">
        <f>C16-F16</f>
        <v/>
      </c>
      <c r="H16" s="24">
        <f>IFERROR(F16/C16,0)</f>
        <v/>
      </c>
      <c r="J16" s="20" t="inlineStr">
        <is>
          <t>Verified</t>
        </is>
      </c>
      <c r="K16" s="26">
        <f>COUNTIFS(tblCoupleTransactions[Applies To Month],$M$1,tblCoupleTransactions[Review Status],"Verified")</f>
        <v/>
      </c>
    </row>
    <row r="17">
      <c r="A17" s="18" t="inlineStr">
        <is>
          <t>Household</t>
        </is>
      </c>
      <c r="B17" s="18" t="inlineStr">
        <is>
          <t>Subscriptions</t>
        </is>
      </c>
      <c r="C17" s="22" t="n">
        <v>80</v>
      </c>
      <c r="D17" s="23">
        <f>-SUMIFS(tblCoupleTransactions[Amount],tblCoupleTransactions[Final Type],"Expense",tblCoupleTransactions[Final Category],$B17,tblCoupleTransactions[Budget For],$A17,tblCoupleTransactions[Applies To Month],$M$1)</f>
        <v/>
      </c>
      <c r="E17" s="23">
        <f>SUMIFS(tblCoupleTransactions[Amount],tblCoupleTransactions[Final Type],"Reimbursement Received",tblCoupleTransactions[Final Category],$B17,tblCoupleTransactions[Budget For],$A17,tblCoupleTransactions[Applies To Month],$M$1)</f>
        <v/>
      </c>
      <c r="F17" s="23">
        <f>D17-E17</f>
        <v/>
      </c>
      <c r="G17" s="23">
        <f>C17-F17</f>
        <v/>
      </c>
      <c r="H17" s="24">
        <f>IFERROR(F17/C17,0)</f>
        <v/>
      </c>
      <c r="J17" s="20" t="inlineStr">
        <is>
          <t>Needs review</t>
        </is>
      </c>
      <c r="K17" s="26">
        <f>K15-K16</f>
        <v/>
      </c>
    </row>
    <row r="18">
      <c r="A18" s="18" t="inlineStr">
        <is>
          <t>Household</t>
        </is>
      </c>
      <c r="B18" s="18" t="inlineStr">
        <is>
          <t>Household Supplies</t>
        </is>
      </c>
      <c r="C18" s="22" t="n">
        <v>150</v>
      </c>
      <c r="D18" s="23">
        <f>-SUMIFS(tblCoupleTransactions[Amount],tblCoupleTransactions[Final Type],"Expense",tblCoupleTransactions[Final Category],$B18,tblCoupleTransactions[Budget For],$A18,tblCoupleTransactions[Applies To Month],$M$1)</f>
        <v/>
      </c>
      <c r="E18" s="23">
        <f>SUMIFS(tblCoupleTransactions[Amount],tblCoupleTransactions[Final Type],"Reimbursement Received",tblCoupleTransactions[Final Category],$B18,tblCoupleTransactions[Budget For],$A18,tblCoupleTransactions[Applies To Month],$M$1)</f>
        <v/>
      </c>
      <c r="F18" s="23">
        <f>D18-E18</f>
        <v/>
      </c>
      <c r="G18" s="23">
        <f>C18-F18</f>
        <v/>
      </c>
      <c r="H18" s="24">
        <f>IFERROR(F18/C18,0)</f>
        <v/>
      </c>
      <c r="J18" s="20" t="inlineStr">
        <is>
          <t>Statement difference</t>
        </is>
      </c>
      <c r="K18" s="27">
        <f>SUMPRODUCT(ABS(G25:G30))</f>
        <v/>
      </c>
    </row>
    <row r="19">
      <c r="A19" s="18" t="inlineStr">
        <is>
          <t>Partner 1</t>
        </is>
      </c>
      <c r="B19" s="18" t="inlineStr">
        <is>
          <t>Personal</t>
        </is>
      </c>
      <c r="C19" s="22" t="n">
        <v>250</v>
      </c>
      <c r="D19" s="23">
        <f>-SUMIFS(tblCoupleTransactions[Amount],tblCoupleTransactions[Final Type],"Expense",tblCoupleTransactions[Final Category],$B19,tblCoupleTransactions[Budget For],$A19,tblCoupleTransactions[Applies To Month],$M$1)</f>
        <v/>
      </c>
      <c r="E19" s="23">
        <f>SUMIFS(tblCoupleTransactions[Amount],tblCoupleTransactions[Final Type],"Reimbursement Received",tblCoupleTransactions[Final Category],$B19,tblCoupleTransactions[Budget For],$A19,tblCoupleTransactions[Applies To Month],$M$1)</f>
        <v/>
      </c>
      <c r="F19" s="23">
        <f>D19-E19</f>
        <v/>
      </c>
      <c r="G19" s="23">
        <f>C19-F19</f>
        <v/>
      </c>
      <c r="H19" s="24">
        <f>IFERROR(F19/C19,0)</f>
        <v/>
      </c>
      <c r="J19" s="20" t="inlineStr">
        <is>
          <t>Month status</t>
        </is>
      </c>
      <c r="K19" s="28">
        <f>IF(AND(K17=0,K18&lt;0.01),"RECONCILED","NEEDS REVIEW")</f>
        <v/>
      </c>
    </row>
    <row r="20">
      <c r="A20" s="18" t="inlineStr">
        <is>
          <t>Partner 2</t>
        </is>
      </c>
      <c r="B20" s="18" t="inlineStr">
        <is>
          <t>Personal</t>
        </is>
      </c>
      <c r="C20" s="22" t="n">
        <v>250</v>
      </c>
      <c r="D20" s="23">
        <f>-SUMIFS(tblCoupleTransactions[Amount],tblCoupleTransactions[Final Type],"Expense",tblCoupleTransactions[Final Category],$B20,tblCoupleTransactions[Budget For],$A20,tblCoupleTransactions[Applies To Month],$M$1)</f>
        <v/>
      </c>
      <c r="E20" s="23">
        <f>SUMIFS(tblCoupleTransactions[Amount],tblCoupleTransactions[Final Type],"Reimbursement Received",tblCoupleTransactions[Final Category],$B20,tblCoupleTransactions[Budget For],$A20,tblCoupleTransactions[Applies To Month],$M$1)</f>
        <v/>
      </c>
      <c r="F20" s="23">
        <f>D20-E20</f>
        <v/>
      </c>
      <c r="G20" s="23">
        <f>C20-F20</f>
        <v/>
      </c>
      <c r="H20" s="24">
        <f>IFERROR(F20/C20,0)</f>
        <v/>
      </c>
    </row>
    <row r="21">
      <c r="A21" s="29" t="inlineStr">
        <is>
          <t>TOTAL</t>
        </is>
      </c>
      <c r="B21" s="18" t="n"/>
      <c r="C21" s="30">
        <f>SUM(C12:C20)</f>
        <v/>
      </c>
      <c r="D21" s="30">
        <f>SUM(D12:D20)</f>
        <v/>
      </c>
      <c r="E21" s="30">
        <f>SUM(E12:E20)</f>
        <v/>
      </c>
      <c r="F21" s="30">
        <f>SUM(F12:F20)</f>
        <v/>
      </c>
      <c r="G21" s="30">
        <f>SUM(G12:G20)</f>
        <v/>
      </c>
      <c r="H21" s="31">
        <f>IFERROR(F21/C21,0)</f>
        <v/>
      </c>
    </row>
    <row r="23">
      <c r="A23" s="3" t="inlineStr">
        <is>
          <t>Bank statement check — internal transfers count here, but not in spending</t>
        </is>
      </c>
      <c r="J23" s="17" t="inlineStr">
        <is>
          <t>How family income was used</t>
        </is>
      </c>
      <c r="K23" s="18" t="n"/>
    </row>
    <row r="24">
      <c r="A24" s="19" t="inlineStr">
        <is>
          <t>Account ID</t>
        </is>
      </c>
      <c r="B24" s="19" t="inlineStr">
        <is>
          <t>Owner</t>
        </is>
      </c>
      <c r="C24" s="19" t="inlineStr">
        <is>
          <t>Opening</t>
        </is>
      </c>
      <c r="D24" s="19" t="inlineStr">
        <is>
          <t>Imported Activity</t>
        </is>
      </c>
      <c r="E24" s="19" t="inlineStr">
        <is>
          <t>Calculated Ending</t>
        </is>
      </c>
      <c r="F24" s="19" t="inlineStr">
        <is>
          <t>Statement Ending</t>
        </is>
      </c>
      <c r="G24" s="19" t="inlineStr">
        <is>
          <t>Difference</t>
        </is>
      </c>
      <c r="H24" s="19" t="inlineStr">
        <is>
          <t>Status</t>
        </is>
      </c>
      <c r="J24" s="20" t="inlineStr">
        <is>
          <t>Income received</t>
        </is>
      </c>
      <c r="K24" s="32">
        <f>SUMIFS(tblCoupleTransactions[Amount],tblCoupleTransactions[Final Type],"Income",tblCoupleTransactions[Applies To Month],$M$1)</f>
        <v/>
      </c>
    </row>
    <row r="25">
      <c r="A25" s="18" t="inlineStr">
        <is>
          <t>CIBC-P1-CHQ</t>
        </is>
      </c>
      <c r="B25" s="18" t="inlineStr">
        <is>
          <t>Partner 1</t>
        </is>
      </c>
      <c r="C25" s="33" t="n">
        <v>2800</v>
      </c>
      <c r="D25" s="34">
        <f>SUMIFS(tblCoupleTransactions[Amount],tblCoupleTransactions[Account ID],$A25,tblCoupleTransactions[Posted Date],"&gt;="&amp;$M$1,tblCoupleTransactions[Posted Date],"&lt;"&amp;EDATE($M$1,1))</f>
        <v/>
      </c>
      <c r="E25" s="34">
        <f>C25+D25</f>
        <v/>
      </c>
      <c r="F25" s="33" t="n">
        <v>2520</v>
      </c>
      <c r="G25" s="34">
        <f>F25-E25</f>
        <v/>
      </c>
      <c r="H25" s="20">
        <f>IF(ABS(G25)&lt;0.01,"Matched","Check")</f>
        <v/>
      </c>
      <c r="J25" s="20" t="inlineStr">
        <is>
          <t>Gross spending</t>
        </is>
      </c>
      <c r="K25" s="32">
        <f>-SUMIFS(tblCoupleTransactions[Amount],tblCoupleTransactions[Final Type],"Expense",tblCoupleTransactions[Applies To Month],$M$1)</f>
        <v/>
      </c>
    </row>
    <row r="26">
      <c r="A26" s="18" t="inlineStr">
        <is>
          <t>RBC-P2-CHQ</t>
        </is>
      </c>
      <c r="B26" s="18" t="inlineStr">
        <is>
          <t>Partner 2</t>
        </is>
      </c>
      <c r="C26" s="33" t="n">
        <v>2500</v>
      </c>
      <c r="D26" s="34">
        <f>SUMIFS(tblCoupleTransactions[Amount],tblCoupleTransactions[Account ID],$A26,tblCoupleTransactions[Posted Date],"&gt;="&amp;$M$1,tblCoupleTransactions[Posted Date],"&lt;"&amp;EDATE($M$1,1))</f>
        <v/>
      </c>
      <c r="E26" s="34">
        <f>C26+D26</f>
        <v/>
      </c>
      <c r="F26" s="33" t="n">
        <v>2340</v>
      </c>
      <c r="G26" s="34">
        <f>F26-E26</f>
        <v/>
      </c>
      <c r="H26" s="20">
        <f>IF(ABS(G26)&lt;0.01,"Matched","Check")</f>
        <v/>
      </c>
      <c r="J26" s="20" t="inlineStr">
        <is>
          <t>Reimbursements</t>
        </is>
      </c>
      <c r="K26" s="32">
        <f>SUMIFS(tblCoupleTransactions[Amount],tblCoupleTransactions[Final Type],"Reimbursement Received",tblCoupleTransactions[Applies To Month],$M$1)</f>
        <v/>
      </c>
    </row>
    <row r="27">
      <c r="A27" s="18" t="inlineStr">
        <is>
          <t>CIBC-JOINT-CHQ</t>
        </is>
      </c>
      <c r="B27" s="18" t="inlineStr">
        <is>
          <t>Joint</t>
        </is>
      </c>
      <c r="C27" s="33" t="n">
        <v>1200</v>
      </c>
      <c r="D27" s="34">
        <f>SUMIFS(tblCoupleTransactions[Amount],tblCoupleTransactions[Account ID],$A27,tblCoupleTransactions[Posted Date],"&gt;="&amp;$M$1,tblCoupleTransactions[Posted Date],"&lt;"&amp;EDATE($M$1,1))</f>
        <v/>
      </c>
      <c r="E27" s="34">
        <f>C27+D27</f>
        <v/>
      </c>
      <c r="F27" s="33" t="n">
        <v>2810</v>
      </c>
      <c r="G27" s="34">
        <f>F27-E27</f>
        <v/>
      </c>
      <c r="H27" s="20">
        <f>IF(ABS(G27)&lt;0.01,"Matched","Check")</f>
        <v/>
      </c>
      <c r="J27" s="20" t="inlineStr">
        <is>
          <t>Net spending</t>
        </is>
      </c>
      <c r="K27" s="32">
        <f>K25-K26</f>
        <v/>
      </c>
    </row>
    <row r="28">
      <c r="A28" s="18" t="inlineStr">
        <is>
          <t>RBC-JOINT-SAV</t>
        </is>
      </c>
      <c r="B28" s="18" t="inlineStr">
        <is>
          <t>Joint</t>
        </is>
      </c>
      <c r="C28" s="33" t="n">
        <v>4500</v>
      </c>
      <c r="D28" s="34">
        <f>SUMIFS(tblCoupleTransactions[Amount],tblCoupleTransactions[Account ID],$A28,tblCoupleTransactions[Posted Date],"&gt;="&amp;$M$1,tblCoupleTransactions[Posted Date],"&lt;"&amp;EDATE($M$1,1))</f>
        <v/>
      </c>
      <c r="E28" s="34">
        <f>C28+D28</f>
        <v/>
      </c>
      <c r="F28" s="33" t="n">
        <v>5000</v>
      </c>
      <c r="G28" s="34">
        <f>F28-E28</f>
        <v/>
      </c>
      <c r="H28" s="20">
        <f>IF(ABS(G28)&lt;0.01,"Matched","Check")</f>
        <v/>
      </c>
      <c r="J28" s="20" t="inlineStr">
        <is>
          <t>Sinking funds</t>
        </is>
      </c>
      <c r="K28" s="32">
        <f>-SUMIFS(tblCoupleTransactions[Amount],tblCoupleTransactions[Final Type],"Sinking Fund Contribution",tblCoupleTransactions[Applies To Month],$M$1)</f>
        <v/>
      </c>
    </row>
    <row r="29">
      <c r="A29" s="18" t="inlineStr">
        <is>
          <t>CIBC-P1-VISA</t>
        </is>
      </c>
      <c r="B29" s="18" t="inlineStr">
        <is>
          <t>Partner 1</t>
        </is>
      </c>
      <c r="C29" s="33" t="n">
        <v>-300</v>
      </c>
      <c r="D29" s="34">
        <f>SUMIFS(tblCoupleTransactions[Amount],tblCoupleTransactions[Account ID],$A29,tblCoupleTransactions[Posted Date],"&gt;="&amp;$M$1,tblCoupleTransactions[Posted Date],"&lt;"&amp;EDATE($M$1,1))</f>
        <v/>
      </c>
      <c r="E29" s="34">
        <f>C29+D29</f>
        <v/>
      </c>
      <c r="F29" s="33" t="n">
        <v>-300</v>
      </c>
      <c r="G29" s="34">
        <f>F29-E29</f>
        <v/>
      </c>
      <c r="H29" s="20">
        <f>IF(ABS(G29)&lt;0.01,"Matched","Check")</f>
        <v/>
      </c>
      <c r="J29" s="20" t="inlineStr">
        <is>
          <t>Investments</t>
        </is>
      </c>
      <c r="K29" s="32">
        <f>-SUMIFS(tblCoupleTransactions[Amount],tblCoupleTransactions[Final Type],"Investment Contribution",tblCoupleTransactions[Applies To Month],$M$1)</f>
        <v/>
      </c>
    </row>
    <row r="30">
      <c r="A30" s="18" t="inlineStr">
        <is>
          <t>RBC-P2-VISA</t>
        </is>
      </c>
      <c r="B30" s="18" t="inlineStr">
        <is>
          <t>Partner 2</t>
        </is>
      </c>
      <c r="C30" s="33" t="n">
        <v>-250</v>
      </c>
      <c r="D30" s="34">
        <f>SUMIFS(tblCoupleTransactions[Amount],tblCoupleTransactions[Account ID],$A30,tblCoupleTransactions[Posted Date],"&gt;="&amp;$M$1,tblCoupleTransactions[Posted Date],"&lt;"&amp;EDATE($M$1,1))</f>
        <v/>
      </c>
      <c r="E30" s="34">
        <f>C30+D30</f>
        <v/>
      </c>
      <c r="F30" s="33" t="n">
        <v>-150</v>
      </c>
      <c r="G30" s="34">
        <f>F30-E30</f>
        <v/>
      </c>
      <c r="H30" s="20">
        <f>IF(ABS(G30)&lt;0.01,"Matched","Check")</f>
        <v/>
      </c>
      <c r="J30" s="35" t="inlineStr">
        <is>
          <t>Unallocated income</t>
        </is>
      </c>
      <c r="K30" s="36">
        <f>K24-K27-K28-K29</f>
        <v/>
      </c>
    </row>
    <row r="33">
      <c r="A33" s="3" t="inlineStr">
        <is>
          <t>Who the spending was for</t>
        </is>
      </c>
      <c r="J33" s="17" t="inlineStr">
        <is>
          <t>Current family position</t>
        </is>
      </c>
      <c r="K33" s="18" t="n"/>
    </row>
    <row r="34">
      <c r="A34" s="37" t="inlineStr">
        <is>
          <t>Budget For</t>
        </is>
      </c>
      <c r="B34" s="37" t="inlineStr">
        <is>
          <t>Budget</t>
        </is>
      </c>
      <c r="C34" s="37" t="inlineStr">
        <is>
          <t>Net Spend</t>
        </is>
      </c>
      <c r="D34" s="37" t="inlineStr">
        <is>
          <t>Remaining</t>
        </is>
      </c>
      <c r="E34" s="37" t="inlineStr">
        <is>
          <t>Meaning</t>
        </is>
      </c>
      <c r="J34" s="20" t="inlineStr">
        <is>
          <t>Cash</t>
        </is>
      </c>
      <c r="K34" s="38">
        <f>SUMIFS(tblAccounts[Latest Balance],tblAccounts[Type],"Chequing")+SUMIFS(tblAccounts[Latest Balance],tblAccounts[Type],"Savings")</f>
        <v/>
      </c>
    </row>
    <row r="35">
      <c r="A35" s="18" t="inlineStr">
        <is>
          <t>Household</t>
        </is>
      </c>
      <c r="B35" s="39">
        <f>SUMIF($A$12:$A$20,A35,$C$12:$C$20)</f>
        <v/>
      </c>
      <c r="C35" s="39">
        <f>SUMIF($A$12:$A$20,A35,$F$12:$F$20)</f>
        <v/>
      </c>
      <c r="D35" s="39">
        <f>B35-C35</f>
        <v/>
      </c>
      <c r="E35" s="18" t="inlineStr">
        <is>
          <t>Shared living costs</t>
        </is>
      </c>
      <c r="J35" s="20" t="inlineStr">
        <is>
          <t>Investments</t>
        </is>
      </c>
      <c r="K35" s="38">
        <f>SUMIFS(tblAccounts[Latest Balance],tblAccounts[Type],"Investment")</f>
        <v/>
      </c>
    </row>
    <row r="36">
      <c r="A36" s="18" t="inlineStr">
        <is>
          <t>Partner 1</t>
        </is>
      </c>
      <c r="B36" s="39">
        <f>SUMIF($A$12:$A$20,A36,$C$12:$C$20)</f>
        <v/>
      </c>
      <c r="C36" s="39">
        <f>SUMIF($A$12:$A$20,A36,$F$12:$F$20)</f>
        <v/>
      </c>
      <c r="D36" s="39">
        <f>B36-C36</f>
        <v/>
      </c>
      <c r="E36" s="18" t="inlineStr">
        <is>
          <t>Partner 1 personal spending</t>
        </is>
      </c>
      <c r="J36" s="20" t="inlineStr">
        <is>
          <t>Credit-card debt</t>
        </is>
      </c>
      <c r="K36" s="38">
        <f>-SUMIFS(tblAccounts[Latest Balance],tblAccounts[Type],"Credit Card")</f>
        <v/>
      </c>
    </row>
    <row r="37">
      <c r="A37" s="18" t="inlineStr">
        <is>
          <t>Partner 2</t>
        </is>
      </c>
      <c r="B37" s="39">
        <f>SUMIF($A$12:$A$20,A37,$C$12:$C$20)</f>
        <v/>
      </c>
      <c r="C37" s="39">
        <f>SUMIF($A$12:$A$20,A37,$F$12:$F$20)</f>
        <v/>
      </c>
      <c r="D37" s="39">
        <f>B37-C37</f>
        <v/>
      </c>
      <c r="E37" s="18" t="inlineStr">
        <is>
          <t>Partner 2 personal spending</t>
        </is>
      </c>
      <c r="J37" s="20" t="inlineStr">
        <is>
          <t>Net worth</t>
        </is>
      </c>
      <c r="K37" s="38">
        <f>SUMIFS(tblAccounts[Latest Balance],tblAccounts[Include in Net Worth],"Yes")</f>
        <v/>
      </c>
    </row>
    <row r="38">
      <c r="J38" s="20" t="inlineStr">
        <is>
          <t>Balances as of</t>
        </is>
      </c>
      <c r="K38" s="40">
        <f>MAX(tblAccounts[Balance As Of])</f>
        <v/>
      </c>
    </row>
    <row r="40" ht="28" customHeight="1">
      <c r="A40" s="41" t="inlineStr">
        <is>
          <t>A transfer between Partner 1, Partner 2, joint accounts, credit cards, or savings changes account balances—but not family spending.</t>
        </is>
      </c>
    </row>
  </sheetData>
  <mergeCells count="25">
    <mergeCell ref="E6:F7"/>
    <mergeCell ref="J5:K5"/>
    <mergeCell ref="G6:H7"/>
    <mergeCell ref="C5:D5"/>
    <mergeCell ref="J10:K10"/>
    <mergeCell ref="E5:F5"/>
    <mergeCell ref="G8:H8"/>
    <mergeCell ref="A1:K1"/>
    <mergeCell ref="E8:F8"/>
    <mergeCell ref="G3:K3"/>
    <mergeCell ref="C6:D7"/>
    <mergeCell ref="A5:B5"/>
    <mergeCell ref="A2:K2"/>
    <mergeCell ref="G5:H5"/>
    <mergeCell ref="A33:E33"/>
    <mergeCell ref="A23:H23"/>
    <mergeCell ref="A8:B8"/>
    <mergeCell ref="C8:D8"/>
    <mergeCell ref="J6:K7"/>
    <mergeCell ref="A10:H10"/>
    <mergeCell ref="A6:B7"/>
    <mergeCell ref="J33:K33"/>
    <mergeCell ref="J23:K23"/>
    <mergeCell ref="J8:K8"/>
    <mergeCell ref="A40:K40"/>
  </mergeCells>
  <conditionalFormatting sqref="G12:G21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H12:H21">
    <cfRule type="dataBar" priority="3">
      <dataBar>
        <cfvo type="num" val="0"/>
        <cfvo type="num" val="1"/>
        <color rgb="005B9BD5"/>
      </dataBar>
    </cfRule>
  </conditionalFormatting>
  <conditionalFormatting sqref="K19">
    <cfRule type="expression" priority="4" dxfId="2">
      <formula>K19="RECONCILED"</formula>
    </cfRule>
    <cfRule type="expression" priority="5" dxfId="3">
      <formula>K19&lt;&gt;"RECONCILED"</formula>
    </cfRule>
  </conditionalFormatting>
  <conditionalFormatting sqref="G25:G30">
    <cfRule type="expression" priority="6" dxfId="1">
      <formula>ABS(G25)&lt;0.01</formula>
    </cfRule>
    <cfRule type="expression" priority="7" dxfId="4">
      <formula>ABS(G25)&gt;=0.01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</hyperlink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5" customWidth="1" min="3" max="3"/>
    <col width="15" customWidth="1" min="4" max="4"/>
    <col width="16" customWidth="1" min="5" max="5"/>
    <col width="20" customWidth="1" min="6" max="6"/>
    <col width="21" customWidth="1" min="7" max="7"/>
    <col width="18" customWidth="1" min="8" max="8"/>
    <col width="17" customWidth="1" min="9" max="9"/>
  </cols>
  <sheetData>
    <row r="1">
      <c r="A1" s="42" t="inlineStr">
        <is>
          <t>Family Accounts &amp; Current Values</t>
        </is>
      </c>
    </row>
    <row r="2">
      <c r="A2" s="7" t="inlineStr">
        <is>
          <t>Account details identify the institution and owner. Latest values come from Balance Snapshots—not from assuming a CSV contains the balance.</t>
        </is>
      </c>
    </row>
    <row r="3">
      <c r="A3" s="12" t="inlineStr">
        <is>
          <t>← Start Here</t>
        </is>
      </c>
      <c r="B3" s="12" t="inlineStr">
        <is>
          <t>Balance Snapshots</t>
        </is>
      </c>
      <c r="C3" s="12" t="inlineStr">
        <is>
          <t>October</t>
        </is>
      </c>
    </row>
    <row r="5">
      <c r="A5" s="14" t="inlineStr">
        <is>
          <t>Cash</t>
        </is>
      </c>
      <c r="C5" s="14" t="inlineStr">
        <is>
          <t>Investments</t>
        </is>
      </c>
      <c r="E5" s="14" t="inlineStr">
        <is>
          <t>Credit-Card Debt</t>
        </is>
      </c>
      <c r="G5" s="14" t="inlineStr">
        <is>
          <t>Family Net Worth</t>
        </is>
      </c>
    </row>
    <row r="6">
      <c r="A6" s="43">
        <f>SUMIFS(tblAccounts[Latest Balance],tblAccounts[Type],"Chequing")+SUMIFS(tblAccounts[Latest Balance],tblAccounts[Type],"Savings")</f>
        <v/>
      </c>
      <c r="C6" s="43">
        <f>SUMIFS(tblAccounts[Latest Balance],tblAccounts[Type],"Investment")</f>
        <v/>
      </c>
      <c r="E6" s="43">
        <f>-SUMIFS(tblAccounts[Latest Balance],tblAccounts[Type],"Credit Card")</f>
        <v/>
      </c>
      <c r="G6" s="43">
        <f>SUMIFS(tblAccounts[Latest Balance],tblAccounts[Include in Net Worth],"Yes")</f>
        <v/>
      </c>
    </row>
    <row r="7"/>
    <row r="9">
      <c r="A9" t="inlineStr">
        <is>
          <t>Account ID</t>
        </is>
      </c>
      <c r="B9" t="inlineStr">
        <is>
          <t>Institution</t>
        </is>
      </c>
      <c r="C9" t="inlineStr">
        <is>
          <t>Account Name</t>
        </is>
      </c>
      <c r="D9" t="inlineStr">
        <is>
          <t>Owner</t>
        </is>
      </c>
      <c r="E9" t="inlineStr">
        <is>
          <t>Type</t>
        </is>
      </c>
      <c r="F9" t="inlineStr">
        <is>
          <t>Reconcile Monthly</t>
        </is>
      </c>
      <c r="G9" t="inlineStr">
        <is>
          <t>Include in Net Worth</t>
        </is>
      </c>
      <c r="H9" t="inlineStr">
        <is>
          <t>Latest Balance</t>
        </is>
      </c>
      <c r="I9" t="inlineStr">
        <is>
          <t>Balance As Of</t>
        </is>
      </c>
    </row>
    <row r="10">
      <c r="A10" s="44" t="inlineStr">
        <is>
          <t>CIBC-P1-CHQ</t>
        </is>
      </c>
      <c r="B10" s="44" t="inlineStr">
        <is>
          <t>CIBC</t>
        </is>
      </c>
      <c r="C10" s="44" t="inlineStr">
        <is>
          <t>Everyday Chequing</t>
        </is>
      </c>
      <c r="D10" s="44" t="inlineStr">
        <is>
          <t>Partner 1</t>
        </is>
      </c>
      <c r="E10" s="44" t="inlineStr">
        <is>
          <t>Chequing</t>
        </is>
      </c>
      <c r="F10" s="44" t="inlineStr">
        <is>
          <t>Yes</t>
        </is>
      </c>
      <c r="G10" s="44" t="inlineStr">
        <is>
          <t>Yes</t>
        </is>
      </c>
      <c r="H10" s="45">
        <f>IFERROR(SUMIFS(tblBalances[Balance],tblBalances[Account ID],A10,tblBalances[As Of Date],MAXIFS(tblBalances[As Of Date],tblBalances[Account ID],A10)),"")</f>
        <v/>
      </c>
      <c r="I10" s="46">
        <f>IFERROR(MAXIFS(tblBalances[As Of Date],tblBalances[Account ID],A10),"")</f>
        <v/>
      </c>
    </row>
    <row r="11">
      <c r="A11" s="44" t="inlineStr">
        <is>
          <t>RBC-P2-CHQ</t>
        </is>
      </c>
      <c r="B11" s="44" t="inlineStr">
        <is>
          <t>RBC</t>
        </is>
      </c>
      <c r="C11" s="44" t="inlineStr">
        <is>
          <t>Day-to-Day Chequing</t>
        </is>
      </c>
      <c r="D11" s="44" t="inlineStr">
        <is>
          <t>Partner 2</t>
        </is>
      </c>
      <c r="E11" s="44" t="inlineStr">
        <is>
          <t>Chequing</t>
        </is>
      </c>
      <c r="F11" s="44" t="inlineStr">
        <is>
          <t>Yes</t>
        </is>
      </c>
      <c r="G11" s="44" t="inlineStr">
        <is>
          <t>Yes</t>
        </is>
      </c>
      <c r="H11" s="45">
        <f>IFERROR(SUMIFS(tblBalances[Balance],tblBalances[Account ID],A11,tblBalances[As Of Date],MAXIFS(tblBalances[As Of Date],tblBalances[Account ID],A11)),"")</f>
        <v/>
      </c>
      <c r="I11" s="46">
        <f>IFERROR(MAXIFS(tblBalances[As Of Date],tblBalances[Account ID],A11),"")</f>
        <v/>
      </c>
    </row>
    <row r="12">
      <c r="A12" s="44" t="inlineStr">
        <is>
          <t>CIBC-JOINT-CHQ</t>
        </is>
      </c>
      <c r="B12" s="44" t="inlineStr">
        <is>
          <t>CIBC</t>
        </is>
      </c>
      <c r="C12" s="44" t="inlineStr">
        <is>
          <t>Joint Chequing</t>
        </is>
      </c>
      <c r="D12" s="44" t="inlineStr">
        <is>
          <t>Joint</t>
        </is>
      </c>
      <c r="E12" s="44" t="inlineStr">
        <is>
          <t>Chequing</t>
        </is>
      </c>
      <c r="F12" s="44" t="inlineStr">
        <is>
          <t>Yes</t>
        </is>
      </c>
      <c r="G12" s="44" t="inlineStr">
        <is>
          <t>Yes</t>
        </is>
      </c>
      <c r="H12" s="45">
        <f>IFERROR(SUMIFS(tblBalances[Balance],tblBalances[Account ID],A12,tblBalances[As Of Date],MAXIFS(tblBalances[As Of Date],tblBalances[Account ID],A12)),"")</f>
        <v/>
      </c>
      <c r="I12" s="46">
        <f>IFERROR(MAXIFS(tblBalances[As Of Date],tblBalances[Account ID],A12),"")</f>
        <v/>
      </c>
    </row>
    <row r="13">
      <c r="A13" s="44" t="inlineStr">
        <is>
          <t>RBC-JOINT-SAV</t>
        </is>
      </c>
      <c r="B13" s="44" t="inlineStr">
        <is>
          <t>RBC</t>
        </is>
      </c>
      <c r="C13" s="44" t="inlineStr">
        <is>
          <t>Joint Goal Savings</t>
        </is>
      </c>
      <c r="D13" s="44" t="inlineStr">
        <is>
          <t>Joint</t>
        </is>
      </c>
      <c r="E13" s="44" t="inlineStr">
        <is>
          <t>Savings</t>
        </is>
      </c>
      <c r="F13" s="44" t="inlineStr">
        <is>
          <t>Yes</t>
        </is>
      </c>
      <c r="G13" s="44" t="inlineStr">
        <is>
          <t>Yes</t>
        </is>
      </c>
      <c r="H13" s="45">
        <f>IFERROR(SUMIFS(tblBalances[Balance],tblBalances[Account ID],A13,tblBalances[As Of Date],MAXIFS(tblBalances[As Of Date],tblBalances[Account ID],A13)),"")</f>
        <v/>
      </c>
      <c r="I13" s="46">
        <f>IFERROR(MAXIFS(tblBalances[As Of Date],tblBalances[Account ID],A13),"")</f>
        <v/>
      </c>
    </row>
    <row r="14">
      <c r="A14" s="44" t="inlineStr">
        <is>
          <t>CIBC-P1-VISA</t>
        </is>
      </c>
      <c r="B14" s="44" t="inlineStr">
        <is>
          <t>CIBC</t>
        </is>
      </c>
      <c r="C14" s="44" t="inlineStr">
        <is>
          <t>Partner 1 Visa</t>
        </is>
      </c>
      <c r="D14" s="44" t="inlineStr">
        <is>
          <t>Partner 1</t>
        </is>
      </c>
      <c r="E14" s="44" t="inlineStr">
        <is>
          <t>Credit Card</t>
        </is>
      </c>
      <c r="F14" s="44" t="inlineStr">
        <is>
          <t>Yes</t>
        </is>
      </c>
      <c r="G14" s="44" t="inlineStr">
        <is>
          <t>Yes</t>
        </is>
      </c>
      <c r="H14" s="45">
        <f>IFERROR(SUMIFS(tblBalances[Balance],tblBalances[Account ID],A14,tblBalances[As Of Date],MAXIFS(tblBalances[As Of Date],tblBalances[Account ID],A14)),"")</f>
        <v/>
      </c>
      <c r="I14" s="46">
        <f>IFERROR(MAXIFS(tblBalances[As Of Date],tblBalances[Account ID],A14),"")</f>
        <v/>
      </c>
    </row>
    <row r="15">
      <c r="A15" s="44" t="inlineStr">
        <is>
          <t>RBC-P2-VISA</t>
        </is>
      </c>
      <c r="B15" s="44" t="inlineStr">
        <is>
          <t>RBC</t>
        </is>
      </c>
      <c r="C15" s="44" t="inlineStr">
        <is>
          <t>Partner 2 Visa</t>
        </is>
      </c>
      <c r="D15" s="44" t="inlineStr">
        <is>
          <t>Partner 2</t>
        </is>
      </c>
      <c r="E15" s="44" t="inlineStr">
        <is>
          <t>Credit Card</t>
        </is>
      </c>
      <c r="F15" s="44" t="inlineStr">
        <is>
          <t>Yes</t>
        </is>
      </c>
      <c r="G15" s="44" t="inlineStr">
        <is>
          <t>Yes</t>
        </is>
      </c>
      <c r="H15" s="45">
        <f>IFERROR(SUMIFS(tblBalances[Balance],tblBalances[Account ID],A15,tblBalances[As Of Date],MAXIFS(tblBalances[As Of Date],tblBalances[Account ID],A15)),"")</f>
        <v/>
      </c>
      <c r="I15" s="46">
        <f>IFERROR(MAXIFS(tblBalances[As Of Date],tblBalances[Account ID],A15),"")</f>
        <v/>
      </c>
    </row>
    <row r="16">
      <c r="A16" s="44" t="inlineStr">
        <is>
          <t>RBC-P1-TFSA</t>
        </is>
      </c>
      <c r="B16" s="44" t="inlineStr">
        <is>
          <t>RBC</t>
        </is>
      </c>
      <c r="C16" s="44" t="inlineStr">
        <is>
          <t>Partner 1 TFSA</t>
        </is>
      </c>
      <c r="D16" s="44" t="inlineStr">
        <is>
          <t>Partner 1</t>
        </is>
      </c>
      <c r="E16" s="44" t="inlineStr">
        <is>
          <t>Investment</t>
        </is>
      </c>
      <c r="F16" s="44" t="inlineStr">
        <is>
          <t>No</t>
        </is>
      </c>
      <c r="G16" s="44" t="inlineStr">
        <is>
          <t>Yes</t>
        </is>
      </c>
      <c r="H16" s="45">
        <f>IFERROR(SUMIFS(tblBalances[Balance],tblBalances[Account ID],A16,tblBalances[As Of Date],MAXIFS(tblBalances[As Of Date],tblBalances[Account ID],A16)),"")</f>
        <v/>
      </c>
      <c r="I16" s="46">
        <f>IFERROR(MAXIFS(tblBalances[As Of Date],tblBalances[Account ID],A16),"")</f>
        <v/>
      </c>
    </row>
    <row r="17">
      <c r="A17" s="44" t="inlineStr">
        <is>
          <t>CIBC-P2-TFSA</t>
        </is>
      </c>
      <c r="B17" s="44" t="inlineStr">
        <is>
          <t>CIBC</t>
        </is>
      </c>
      <c r="C17" s="44" t="inlineStr">
        <is>
          <t>Partner 2 TFSA</t>
        </is>
      </c>
      <c r="D17" s="44" t="inlineStr">
        <is>
          <t>Partner 2</t>
        </is>
      </c>
      <c r="E17" s="44" t="inlineStr">
        <is>
          <t>Investment</t>
        </is>
      </c>
      <c r="F17" s="44" t="inlineStr">
        <is>
          <t>No</t>
        </is>
      </c>
      <c r="G17" s="44" t="inlineStr">
        <is>
          <t>Yes</t>
        </is>
      </c>
      <c r="H17" s="45">
        <f>IFERROR(SUMIFS(tblBalances[Balance],tblBalances[Account ID],A17,tblBalances[As Of Date],MAXIFS(tblBalances[As Of Date],tblBalances[Account ID],A17)),"")</f>
        <v/>
      </c>
      <c r="I17" s="46">
        <f>IFERROR(MAXIFS(tblBalances[As Of Date],tblBalances[Account ID],A17),"")</f>
        <v/>
      </c>
    </row>
  </sheetData>
  <mergeCells count="10">
    <mergeCell ref="G6:I7"/>
    <mergeCell ref="A2:I2"/>
    <mergeCell ref="E6:F7"/>
    <mergeCell ref="C6:D7"/>
    <mergeCell ref="G5:I5"/>
    <mergeCell ref="C5:D5"/>
    <mergeCell ref="A5:B5"/>
    <mergeCell ref="A1:I1"/>
    <mergeCell ref="E5:F5"/>
    <mergeCell ref="A6:B7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30" customWidth="1" min="4" max="4"/>
    <col width="26" customWidth="1" min="5" max="5"/>
  </cols>
  <sheetData>
    <row r="1">
      <c r="A1" s="42" t="inlineStr">
        <is>
          <t>Balance Snapshots</t>
        </is>
      </c>
    </row>
    <row r="2" ht="32" customHeight="1">
      <c r="A2" s="47" t="inlineStr">
        <is>
          <t>Enter one dated balance per account. Investment balances are market values, which cannot be calculated from transaction CSVs alone.</t>
        </is>
      </c>
    </row>
    <row r="3">
      <c r="A3" s="12" t="inlineStr">
        <is>
          <t>← Start Here</t>
        </is>
      </c>
      <c r="B3" s="12" t="inlineStr">
        <is>
          <t>Accounts</t>
        </is>
      </c>
      <c r="C3" s="12" t="inlineStr">
        <is>
          <t>October</t>
        </is>
      </c>
    </row>
    <row r="4">
      <c r="A4" t="inlineStr">
        <is>
          <t>As Of Date</t>
        </is>
      </c>
      <c r="B4" t="inlineStr">
        <is>
          <t>Account ID</t>
        </is>
      </c>
      <c r="C4" t="inlineStr">
        <is>
          <t>Balance</t>
        </is>
      </c>
      <c r="D4" t="inlineStr">
        <is>
          <t>Source</t>
        </is>
      </c>
      <c r="E4" t="inlineStr">
        <is>
          <t>Notes</t>
        </is>
      </c>
    </row>
    <row r="5">
      <c r="A5" s="48" t="n">
        <v>46266</v>
      </c>
      <c r="B5" s="44" t="inlineStr">
        <is>
          <t>CIBC-P1-CHQ</t>
        </is>
      </c>
      <c r="C5" s="49" t="n">
        <v>2800</v>
      </c>
      <c r="D5" s="44" t="inlineStr">
        <is>
          <t>Opening statement</t>
        </is>
      </c>
      <c r="E5" s="44" t="inlineStr"/>
    </row>
    <row r="6">
      <c r="A6" s="48" t="n">
        <v>46266</v>
      </c>
      <c r="B6" s="44" t="inlineStr">
        <is>
          <t>RBC-P2-CHQ</t>
        </is>
      </c>
      <c r="C6" s="49" t="n">
        <v>2500</v>
      </c>
      <c r="D6" s="44" t="inlineStr">
        <is>
          <t>Opening statement</t>
        </is>
      </c>
      <c r="E6" s="44" t="inlineStr"/>
    </row>
    <row r="7">
      <c r="A7" s="48" t="n">
        <v>46266</v>
      </c>
      <c r="B7" s="44" t="inlineStr">
        <is>
          <t>CIBC-JOINT-CHQ</t>
        </is>
      </c>
      <c r="C7" s="49" t="n">
        <v>1200</v>
      </c>
      <c r="D7" s="44" t="inlineStr">
        <is>
          <t>Opening statement</t>
        </is>
      </c>
      <c r="E7" s="44" t="inlineStr"/>
    </row>
    <row r="8">
      <c r="A8" s="48" t="n">
        <v>46266</v>
      </c>
      <c r="B8" s="44" t="inlineStr">
        <is>
          <t>RBC-JOINT-SAV</t>
        </is>
      </c>
      <c r="C8" s="49" t="n">
        <v>4500</v>
      </c>
      <c r="D8" s="44" t="inlineStr">
        <is>
          <t>Opening statement</t>
        </is>
      </c>
      <c r="E8" s="44" t="inlineStr"/>
    </row>
    <row r="9">
      <c r="A9" s="48" t="n">
        <v>46266</v>
      </c>
      <c r="B9" s="44" t="inlineStr">
        <is>
          <t>CIBC-P1-VISA</t>
        </is>
      </c>
      <c r="C9" s="49" t="n">
        <v>-300</v>
      </c>
      <c r="D9" s="44" t="inlineStr">
        <is>
          <t>Opening statement</t>
        </is>
      </c>
      <c r="E9" s="44" t="inlineStr"/>
    </row>
    <row r="10">
      <c r="A10" s="48" t="n">
        <v>46266</v>
      </c>
      <c r="B10" s="44" t="inlineStr">
        <is>
          <t>RBC-P2-VISA</t>
        </is>
      </c>
      <c r="C10" s="49" t="n">
        <v>-250</v>
      </c>
      <c r="D10" s="44" t="inlineStr">
        <is>
          <t>Opening statement</t>
        </is>
      </c>
      <c r="E10" s="44" t="inlineStr"/>
    </row>
    <row r="11">
      <c r="A11" s="48" t="n">
        <v>46266</v>
      </c>
      <c r="B11" s="44" t="inlineStr">
        <is>
          <t>RBC-P1-TFSA</t>
        </is>
      </c>
      <c r="C11" s="49" t="n">
        <v>14300</v>
      </c>
      <c r="D11" s="44" t="inlineStr">
        <is>
          <t>Opening statement</t>
        </is>
      </c>
      <c r="E11" s="44" t="inlineStr">
        <is>
          <t>Market value</t>
        </is>
      </c>
    </row>
    <row r="12">
      <c r="A12" s="48" t="n">
        <v>46266</v>
      </c>
      <c r="B12" s="44" t="inlineStr">
        <is>
          <t>CIBC-P2-TFSA</t>
        </is>
      </c>
      <c r="C12" s="49" t="n">
        <v>11300</v>
      </c>
      <c r="D12" s="44" t="inlineStr">
        <is>
          <t>Opening statement</t>
        </is>
      </c>
      <c r="E12" s="44" t="inlineStr">
        <is>
          <t>Market value</t>
        </is>
      </c>
    </row>
    <row r="13">
      <c r="A13" s="48" t="n">
        <v>46295</v>
      </c>
      <c r="B13" s="44" t="inlineStr">
        <is>
          <t>CIBC-P1-CHQ</t>
        </is>
      </c>
      <c r="C13" s="49" t="n">
        <v>2520</v>
      </c>
      <c r="D13" s="44" t="inlineStr">
        <is>
          <t>Month-end statement</t>
        </is>
      </c>
      <c r="E13" s="44" t="inlineStr"/>
    </row>
    <row r="14">
      <c r="A14" s="48" t="n">
        <v>46295</v>
      </c>
      <c r="B14" s="44" t="inlineStr">
        <is>
          <t>RBC-P2-CHQ</t>
        </is>
      </c>
      <c r="C14" s="49" t="n">
        <v>2340</v>
      </c>
      <c r="D14" s="44" t="inlineStr">
        <is>
          <t>Month-end statement</t>
        </is>
      </c>
      <c r="E14" s="44" t="inlineStr"/>
    </row>
    <row r="15">
      <c r="A15" s="48" t="n">
        <v>46295</v>
      </c>
      <c r="B15" s="44" t="inlineStr">
        <is>
          <t>CIBC-JOINT-CHQ</t>
        </is>
      </c>
      <c r="C15" s="49" t="n">
        <v>2810</v>
      </c>
      <c r="D15" s="44" t="inlineStr">
        <is>
          <t>Month-end statement</t>
        </is>
      </c>
      <c r="E15" s="44" t="inlineStr"/>
    </row>
    <row r="16">
      <c r="A16" s="48" t="n">
        <v>46295</v>
      </c>
      <c r="B16" s="44" t="inlineStr">
        <is>
          <t>RBC-JOINT-SAV</t>
        </is>
      </c>
      <c r="C16" s="49" t="n">
        <v>5000</v>
      </c>
      <c r="D16" s="44" t="inlineStr">
        <is>
          <t>Month-end statement</t>
        </is>
      </c>
      <c r="E16" s="44" t="inlineStr"/>
    </row>
    <row r="17">
      <c r="A17" s="48" t="n">
        <v>46295</v>
      </c>
      <c r="B17" s="44" t="inlineStr">
        <is>
          <t>CIBC-P1-VISA</t>
        </is>
      </c>
      <c r="C17" s="49" t="n">
        <v>-300</v>
      </c>
      <c r="D17" s="44" t="inlineStr">
        <is>
          <t>Month-end statement</t>
        </is>
      </c>
      <c r="E17" s="44" t="inlineStr"/>
    </row>
    <row r="18">
      <c r="A18" s="48" t="n">
        <v>46295</v>
      </c>
      <c r="B18" s="44" t="inlineStr">
        <is>
          <t>RBC-P2-VISA</t>
        </is>
      </c>
      <c r="C18" s="49" t="n">
        <v>-150</v>
      </c>
      <c r="D18" s="44" t="inlineStr">
        <is>
          <t>Month-end statement</t>
        </is>
      </c>
      <c r="E18" s="44" t="inlineStr"/>
    </row>
    <row r="19">
      <c r="A19" s="48" t="n">
        <v>46295</v>
      </c>
      <c r="B19" s="44" t="inlineStr">
        <is>
          <t>RBC-P1-TFSA</t>
        </is>
      </c>
      <c r="C19" s="49" t="n">
        <v>14800</v>
      </c>
      <c r="D19" s="44" t="inlineStr">
        <is>
          <t>Month-end statement</t>
        </is>
      </c>
      <c r="E19" s="44" t="inlineStr">
        <is>
          <t>Market value</t>
        </is>
      </c>
    </row>
    <row r="20">
      <c r="A20" s="48" t="n">
        <v>46295</v>
      </c>
      <c r="B20" s="44" t="inlineStr">
        <is>
          <t>CIBC-P2-TFSA</t>
        </is>
      </c>
      <c r="C20" s="49" t="n">
        <v>11850</v>
      </c>
      <c r="D20" s="44" t="inlineStr">
        <is>
          <t>Month-end statement</t>
        </is>
      </c>
      <c r="E20" s="44" t="inlineStr">
        <is>
          <t>Market value</t>
        </is>
      </c>
    </row>
    <row r="21">
      <c r="A21" s="48" t="n">
        <v>46308</v>
      </c>
      <c r="B21" s="44" t="inlineStr">
        <is>
          <t>CIBC-P1-CHQ</t>
        </is>
      </c>
      <c r="C21" s="49" t="n">
        <v>2520</v>
      </c>
      <c r="D21" s="44" t="inlineStr">
        <is>
          <t>Online balance / market value</t>
        </is>
      </c>
      <c r="E21" s="44" t="inlineStr"/>
    </row>
    <row r="22">
      <c r="A22" s="48" t="n">
        <v>46308</v>
      </c>
      <c r="B22" s="44" t="inlineStr">
        <is>
          <t>RBC-P2-CHQ</t>
        </is>
      </c>
      <c r="C22" s="49" t="n">
        <v>2340</v>
      </c>
      <c r="D22" s="44" t="inlineStr">
        <is>
          <t>Online balance / market value</t>
        </is>
      </c>
      <c r="E22" s="44" t="inlineStr"/>
    </row>
    <row r="23">
      <c r="A23" s="48" t="n">
        <v>46308</v>
      </c>
      <c r="B23" s="44" t="inlineStr">
        <is>
          <t>CIBC-JOINT-CHQ</t>
        </is>
      </c>
      <c r="C23" s="49" t="n">
        <v>4510</v>
      </c>
      <c r="D23" s="44" t="inlineStr">
        <is>
          <t>Online balance / market value</t>
        </is>
      </c>
      <c r="E23" s="44" t="inlineStr"/>
    </row>
    <row r="24">
      <c r="A24" s="48" t="n">
        <v>46308</v>
      </c>
      <c r="B24" s="44" t="inlineStr">
        <is>
          <t>RBC-JOINT-SAV</t>
        </is>
      </c>
      <c r="C24" s="49" t="n">
        <v>5500</v>
      </c>
      <c r="D24" s="44" t="inlineStr">
        <is>
          <t>Online balance / market value</t>
        </is>
      </c>
      <c r="E24" s="44" t="inlineStr"/>
    </row>
    <row r="25">
      <c r="A25" s="48" t="n">
        <v>46308</v>
      </c>
      <c r="B25" s="44" t="inlineStr">
        <is>
          <t>CIBC-P1-VISA</t>
        </is>
      </c>
      <c r="C25" s="49" t="n">
        <v>-350</v>
      </c>
      <c r="D25" s="44" t="inlineStr">
        <is>
          <t>Online balance / market value</t>
        </is>
      </c>
      <c r="E25" s="44" t="inlineStr"/>
    </row>
    <row r="26">
      <c r="A26" s="48" t="n">
        <v>46308</v>
      </c>
      <c r="B26" s="44" t="inlineStr">
        <is>
          <t>RBC-P2-VISA</t>
        </is>
      </c>
      <c r="C26" s="49" t="n">
        <v>20</v>
      </c>
      <c r="D26" s="44" t="inlineStr">
        <is>
          <t>Online balance / market value</t>
        </is>
      </c>
      <c r="E26" s="44" t="inlineStr"/>
    </row>
    <row r="27">
      <c r="A27" s="48" t="n">
        <v>46308</v>
      </c>
      <c r="B27" s="44" t="inlineStr">
        <is>
          <t>RBC-P1-TFSA</t>
        </is>
      </c>
      <c r="C27" s="49" t="n">
        <v>15450</v>
      </c>
      <c r="D27" s="44" t="inlineStr">
        <is>
          <t>Online balance / market value</t>
        </is>
      </c>
      <c r="E27" s="44" t="inlineStr">
        <is>
          <t>Market value</t>
        </is>
      </c>
    </row>
    <row r="28">
      <c r="A28" s="48" t="n">
        <v>46308</v>
      </c>
      <c r="B28" s="44" t="inlineStr">
        <is>
          <t>CIBC-P2-TFSA</t>
        </is>
      </c>
      <c r="C28" s="49" t="n">
        <v>12390</v>
      </c>
      <c r="D28" s="44" t="inlineStr">
        <is>
          <t>Online balance / market value</t>
        </is>
      </c>
      <c r="E28" s="44" t="inlineStr">
        <is>
          <t>Market value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/>
  </sheetPr>
  <dimension ref="A1:P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30" customWidth="1" min="4" max="4"/>
    <col width="15" customWidth="1" min="5" max="5"/>
    <col width="28" customWidth="1" min="6" max="6"/>
    <col width="23" customWidth="1" min="7" max="7"/>
    <col width="14" customWidth="1" min="8" max="8"/>
    <col width="17" customWidth="1" min="9" max="9"/>
    <col width="30" customWidth="1" min="10" max="10"/>
    <col width="23" customWidth="1" min="11" max="11"/>
    <col width="17" customWidth="1" min="12" max="12"/>
    <col width="25" customWidth="1" min="13" max="13"/>
    <col width="20" customWidth="1" min="14" max="14"/>
    <col width="19" customWidth="1" min="15" max="15"/>
    <col width="38" customWidth="1" min="16" max="16"/>
  </cols>
  <sheetData>
    <row r="1">
      <c r="A1" s="42" t="inlineStr">
        <is>
          <t>Final Household Transactions</t>
        </is>
      </c>
    </row>
    <row r="2">
      <c r="A2" s="50" t="inlineStr">
        <is>
          <t>A:G simulate cleaned Power Query output. H:P combine account ownership with the Review Log. Monthly pages use the final calculated columns.</t>
        </is>
      </c>
    </row>
    <row r="3">
      <c r="A3" s="12" t="inlineStr">
        <is>
          <t>← Start Here</t>
        </is>
      </c>
      <c r="B3" s="12" t="inlineStr">
        <is>
          <t>October</t>
        </is>
      </c>
      <c r="C3" s="12" t="inlineStr">
        <is>
          <t>Review Log</t>
        </is>
      </c>
    </row>
    <row r="4">
      <c r="A4" t="inlineStr">
        <is>
          <t>Transaction ID</t>
        </is>
      </c>
      <c r="B4" t="inlineStr">
        <is>
          <t>Posted Date</t>
        </is>
      </c>
      <c r="C4" t="inlineStr">
        <is>
          <t>Account ID</t>
        </is>
      </c>
      <c r="D4" t="inlineStr">
        <is>
          <t>Merchant</t>
        </is>
      </c>
      <c r="E4" t="inlineStr">
        <is>
          <t>Amount</t>
        </is>
      </c>
      <c r="F4" t="inlineStr">
        <is>
          <t>Suggested Type</t>
        </is>
      </c>
      <c r="G4" t="inlineStr">
        <is>
          <t>Suggested Category</t>
        </is>
      </c>
      <c r="H4" t="inlineStr">
        <is>
          <t>Institution</t>
        </is>
      </c>
      <c r="I4" t="inlineStr">
        <is>
          <t>Account Owner</t>
        </is>
      </c>
      <c r="J4" t="inlineStr">
        <is>
          <t>Final Type</t>
        </is>
      </c>
      <c r="K4" t="inlineStr">
        <is>
          <t>Final Category</t>
        </is>
      </c>
      <c r="L4" t="inlineStr">
        <is>
          <t>Budget For</t>
        </is>
      </c>
      <c r="M4" t="inlineStr">
        <is>
          <t>Related Transaction</t>
        </is>
      </c>
      <c r="N4" t="inlineStr">
        <is>
          <t>Applies To Month</t>
        </is>
      </c>
      <c r="O4" t="inlineStr">
        <is>
          <t>Review Status</t>
        </is>
      </c>
      <c r="P4" t="inlineStr">
        <is>
          <t>Notes</t>
        </is>
      </c>
    </row>
    <row r="5">
      <c r="A5" t="inlineStr">
        <is>
          <t>SEP-001</t>
        </is>
      </c>
      <c r="B5" s="51" t="n">
        <v>46266</v>
      </c>
      <c r="C5" t="inlineStr">
        <is>
          <t>CIBC-P1-CHQ</t>
        </is>
      </c>
      <c r="D5" t="inlineStr">
        <is>
          <t>Partner 1 Payroll</t>
        </is>
      </c>
      <c r="E5" s="52" t="n">
        <v>3500</v>
      </c>
      <c r="F5" t="inlineStr">
        <is>
          <t>Income</t>
        </is>
      </c>
      <c r="G5" t="inlineStr">
        <is>
          <t>Employment</t>
        </is>
      </c>
      <c r="H5" s="53">
        <f>IFERROR(INDEX(tblAccounts[Institution],MATCH(C5,tblAccounts[Account ID],0)),"")</f>
        <v/>
      </c>
      <c r="I5" s="53">
        <f>IFERROR(INDEX(tblAccounts[Owner],MATCH(C5,tblAccounts[Account ID],0)),"")</f>
        <v/>
      </c>
      <c r="J5" s="53">
        <f>IFERROR(IF(INDEX(tblCoupleReview[Type Override],MATCH(A5,tblCoupleReview[Transaction ID],0))="",F5,INDEX(tblCoupleReview[Type Override],MATCH(A5,tblCoupleReview[Transaction ID],0))),F5)</f>
        <v/>
      </c>
      <c r="K5" s="53">
        <f>IFERROR(IF(INDEX(tblCoupleReview[Category Override],MATCH(A5,tblCoupleReview[Transaction ID],0))="",G5,INDEX(tblCoupleReview[Category Override],MATCH(A5,tblCoupleReview[Transaction ID],0))),G5)</f>
        <v/>
      </c>
      <c r="L5" s="53">
        <f>IFERROR(INDEX(tblCoupleReview[Budget For],MATCH(A5,tblCoupleReview[Transaction ID],0)),"Household")</f>
        <v/>
      </c>
      <c r="M5" s="53">
        <f>IFERROR(INDEX(tblCoupleReview[Related Transaction],MATCH(A5,tblCoupleReview[Transaction ID],0)),"")</f>
        <v/>
      </c>
      <c r="N5" s="54">
        <f>IFERROR(IF(INDEX(tblCoupleReview[Applies To Month],MATCH(A5,tblCoupleReview[Transaction ID],0))=0,DATE(YEAR(B5),MONTH(B5),1),INDEX(tblCoupleReview[Applies To Month],MATCH(A5,tblCoupleReview[Transaction ID],0))),DATE(YEAR(B5),MONTH(B5),1))</f>
        <v/>
      </c>
      <c r="O5" s="53">
        <f>IFERROR(INDEX(tblCoupleReview[Status],MATCH(A5,tblCoupleReview[Transaction ID],0)),"Unreviewed")</f>
        <v/>
      </c>
      <c r="P5" s="53">
        <f>IFERROR(INDEX(tblCoupleReview[Notes],MATCH(A5,tblCoupleReview[Transaction ID],0)),"")</f>
        <v/>
      </c>
    </row>
    <row r="6">
      <c r="A6" t="inlineStr">
        <is>
          <t>SEP-002</t>
        </is>
      </c>
      <c r="B6" s="51" t="n">
        <v>46266</v>
      </c>
      <c r="C6" t="inlineStr">
        <is>
          <t>RBC-P2-CHQ</t>
        </is>
      </c>
      <c r="D6" t="inlineStr">
        <is>
          <t>Partner 2 Payroll</t>
        </is>
      </c>
      <c r="E6" s="52" t="n">
        <v>3200</v>
      </c>
      <c r="F6" t="inlineStr">
        <is>
          <t>Income</t>
        </is>
      </c>
      <c r="G6" t="inlineStr">
        <is>
          <t>Employment</t>
        </is>
      </c>
      <c r="H6" s="53">
        <f>IFERROR(INDEX(tblAccounts[Institution],MATCH(C6,tblAccounts[Account ID],0)),"")</f>
        <v/>
      </c>
      <c r="I6" s="53">
        <f>IFERROR(INDEX(tblAccounts[Owner],MATCH(C6,tblAccounts[Account ID],0)),"")</f>
        <v/>
      </c>
      <c r="J6" s="53">
        <f>IFERROR(IF(INDEX(tblCoupleReview[Type Override],MATCH(A6,tblCoupleReview[Transaction ID],0))="",F6,INDEX(tblCoupleReview[Type Override],MATCH(A6,tblCoupleReview[Transaction ID],0))),F6)</f>
        <v/>
      </c>
      <c r="K6" s="53">
        <f>IFERROR(IF(INDEX(tblCoupleReview[Category Override],MATCH(A6,tblCoupleReview[Transaction ID],0))="",G6,INDEX(tblCoupleReview[Category Override],MATCH(A6,tblCoupleReview[Transaction ID],0))),G6)</f>
        <v/>
      </c>
      <c r="L6" s="53">
        <f>IFERROR(INDEX(tblCoupleReview[Budget For],MATCH(A6,tblCoupleReview[Transaction ID],0)),"Household")</f>
        <v/>
      </c>
      <c r="M6" s="53">
        <f>IFERROR(INDEX(tblCoupleReview[Related Transaction],MATCH(A6,tblCoupleReview[Transaction ID],0)),"")</f>
        <v/>
      </c>
      <c r="N6" s="54">
        <f>IFERROR(IF(INDEX(tblCoupleReview[Applies To Month],MATCH(A6,tblCoupleReview[Transaction ID],0))=0,DATE(YEAR(B6),MONTH(B6),1),INDEX(tblCoupleReview[Applies To Month],MATCH(A6,tblCoupleReview[Transaction ID],0))),DATE(YEAR(B6),MONTH(B6),1))</f>
        <v/>
      </c>
      <c r="O6" s="53">
        <f>IFERROR(INDEX(tblCoupleReview[Status],MATCH(A6,tblCoupleReview[Transaction ID],0)),"Unreviewed")</f>
        <v/>
      </c>
      <c r="P6" s="53">
        <f>IFERROR(INDEX(tblCoupleReview[Notes],MATCH(A6,tblCoupleReview[Transaction ID],0)),"")</f>
        <v/>
      </c>
    </row>
    <row r="7">
      <c r="A7" t="inlineStr">
        <is>
          <t>SEP-003</t>
        </is>
      </c>
      <c r="B7" s="51" t="n">
        <v>46267</v>
      </c>
      <c r="C7" t="inlineStr">
        <is>
          <t>CIBC-P1-CHQ</t>
        </is>
      </c>
      <c r="D7" t="inlineStr">
        <is>
          <t>Transfer to Joint</t>
        </is>
      </c>
      <c r="E7" s="52" t="n">
        <v>-2500</v>
      </c>
      <c r="F7" t="inlineStr">
        <is>
          <t>Internal Transfer</t>
        </is>
      </c>
      <c r="G7" t="inlineStr">
        <is>
          <t>Transfer</t>
        </is>
      </c>
      <c r="H7" s="53">
        <f>IFERROR(INDEX(tblAccounts[Institution],MATCH(C7,tblAccounts[Account ID],0)),"")</f>
        <v/>
      </c>
      <c r="I7" s="53">
        <f>IFERROR(INDEX(tblAccounts[Owner],MATCH(C7,tblAccounts[Account ID],0)),"")</f>
        <v/>
      </c>
      <c r="J7" s="53">
        <f>IFERROR(IF(INDEX(tblCoupleReview[Type Override],MATCH(A7,tblCoupleReview[Transaction ID],0))="",F7,INDEX(tblCoupleReview[Type Override],MATCH(A7,tblCoupleReview[Transaction ID],0))),F7)</f>
        <v/>
      </c>
      <c r="K7" s="53">
        <f>IFERROR(IF(INDEX(tblCoupleReview[Category Override],MATCH(A7,tblCoupleReview[Transaction ID],0))="",G7,INDEX(tblCoupleReview[Category Override],MATCH(A7,tblCoupleReview[Transaction ID],0))),G7)</f>
        <v/>
      </c>
      <c r="L7" s="53">
        <f>IFERROR(INDEX(tblCoupleReview[Budget For],MATCH(A7,tblCoupleReview[Transaction ID],0)),"Household")</f>
        <v/>
      </c>
      <c r="M7" s="53">
        <f>IFERROR(INDEX(tblCoupleReview[Related Transaction],MATCH(A7,tblCoupleReview[Transaction ID],0)),"")</f>
        <v/>
      </c>
      <c r="N7" s="54">
        <f>IFERROR(IF(INDEX(tblCoupleReview[Applies To Month],MATCH(A7,tblCoupleReview[Transaction ID],0))=0,DATE(YEAR(B7),MONTH(B7),1),INDEX(tblCoupleReview[Applies To Month],MATCH(A7,tblCoupleReview[Transaction ID],0))),DATE(YEAR(B7),MONTH(B7),1))</f>
        <v/>
      </c>
      <c r="O7" s="53">
        <f>IFERROR(INDEX(tblCoupleReview[Status],MATCH(A7,tblCoupleReview[Transaction ID],0)),"Unreviewed")</f>
        <v/>
      </c>
      <c r="P7" s="53">
        <f>IFERROR(INDEX(tblCoupleReview[Notes],MATCH(A7,tblCoupleReview[Transaction ID],0)),"")</f>
        <v/>
      </c>
    </row>
    <row r="8">
      <c r="A8" t="inlineStr">
        <is>
          <t>SEP-004</t>
        </is>
      </c>
      <c r="B8" s="51" t="n">
        <v>46267</v>
      </c>
      <c r="C8" t="inlineStr">
        <is>
          <t>CIBC-JOINT-CHQ</t>
        </is>
      </c>
      <c r="D8" t="inlineStr">
        <is>
          <t>Transfer from Partner 1</t>
        </is>
      </c>
      <c r="E8" s="52" t="n">
        <v>2500</v>
      </c>
      <c r="F8" t="inlineStr">
        <is>
          <t>Internal Transfer</t>
        </is>
      </c>
      <c r="G8" t="inlineStr">
        <is>
          <t>Transfer</t>
        </is>
      </c>
      <c r="H8" s="53">
        <f>IFERROR(INDEX(tblAccounts[Institution],MATCH(C8,tblAccounts[Account ID],0)),"")</f>
        <v/>
      </c>
      <c r="I8" s="53">
        <f>IFERROR(INDEX(tblAccounts[Owner],MATCH(C8,tblAccounts[Account ID],0)),"")</f>
        <v/>
      </c>
      <c r="J8" s="53">
        <f>IFERROR(IF(INDEX(tblCoupleReview[Type Override],MATCH(A8,tblCoupleReview[Transaction ID],0))="",F8,INDEX(tblCoupleReview[Type Override],MATCH(A8,tblCoupleReview[Transaction ID],0))),F8)</f>
        <v/>
      </c>
      <c r="K8" s="53">
        <f>IFERROR(IF(INDEX(tblCoupleReview[Category Override],MATCH(A8,tblCoupleReview[Transaction ID],0))="",G8,INDEX(tblCoupleReview[Category Override],MATCH(A8,tblCoupleReview[Transaction ID],0))),G8)</f>
        <v/>
      </c>
      <c r="L8" s="53">
        <f>IFERROR(INDEX(tblCoupleReview[Budget For],MATCH(A8,tblCoupleReview[Transaction ID],0)),"Household")</f>
        <v/>
      </c>
      <c r="M8" s="53">
        <f>IFERROR(INDEX(tblCoupleReview[Related Transaction],MATCH(A8,tblCoupleReview[Transaction ID],0)),"")</f>
        <v/>
      </c>
      <c r="N8" s="54">
        <f>IFERROR(IF(INDEX(tblCoupleReview[Applies To Month],MATCH(A8,tblCoupleReview[Transaction ID],0))=0,DATE(YEAR(B8),MONTH(B8),1),INDEX(tblCoupleReview[Applies To Month],MATCH(A8,tblCoupleReview[Transaction ID],0))),DATE(YEAR(B8),MONTH(B8),1))</f>
        <v/>
      </c>
      <c r="O8" s="53">
        <f>IFERROR(INDEX(tblCoupleReview[Status],MATCH(A8,tblCoupleReview[Transaction ID],0)),"Unreviewed")</f>
        <v/>
      </c>
      <c r="P8" s="53">
        <f>IFERROR(INDEX(tblCoupleReview[Notes],MATCH(A8,tblCoupleReview[Transaction ID],0)),"")</f>
        <v/>
      </c>
    </row>
    <row r="9">
      <c r="A9" t="inlineStr">
        <is>
          <t>SEP-005</t>
        </is>
      </c>
      <c r="B9" s="51" t="n">
        <v>46267</v>
      </c>
      <c r="C9" t="inlineStr">
        <is>
          <t>RBC-P2-CHQ</t>
        </is>
      </c>
      <c r="D9" t="inlineStr">
        <is>
          <t>Transfer to Joint</t>
        </is>
      </c>
      <c r="E9" s="52" t="n">
        <v>-2200</v>
      </c>
      <c r="F9" t="inlineStr">
        <is>
          <t>Internal Transfer</t>
        </is>
      </c>
      <c r="G9" t="inlineStr">
        <is>
          <t>Transfer</t>
        </is>
      </c>
      <c r="H9" s="53">
        <f>IFERROR(INDEX(tblAccounts[Institution],MATCH(C9,tblAccounts[Account ID],0)),"")</f>
        <v/>
      </c>
      <c r="I9" s="53">
        <f>IFERROR(INDEX(tblAccounts[Owner],MATCH(C9,tblAccounts[Account ID],0)),"")</f>
        <v/>
      </c>
      <c r="J9" s="53">
        <f>IFERROR(IF(INDEX(tblCoupleReview[Type Override],MATCH(A9,tblCoupleReview[Transaction ID],0))="",F9,INDEX(tblCoupleReview[Type Override],MATCH(A9,tblCoupleReview[Transaction ID],0))),F9)</f>
        <v/>
      </c>
      <c r="K9" s="53">
        <f>IFERROR(IF(INDEX(tblCoupleReview[Category Override],MATCH(A9,tblCoupleReview[Transaction ID],0))="",G9,INDEX(tblCoupleReview[Category Override],MATCH(A9,tblCoupleReview[Transaction ID],0))),G9)</f>
        <v/>
      </c>
      <c r="L9" s="53">
        <f>IFERROR(INDEX(tblCoupleReview[Budget For],MATCH(A9,tblCoupleReview[Transaction ID],0)),"Household")</f>
        <v/>
      </c>
      <c r="M9" s="53">
        <f>IFERROR(INDEX(tblCoupleReview[Related Transaction],MATCH(A9,tblCoupleReview[Transaction ID],0)),"")</f>
        <v/>
      </c>
      <c r="N9" s="54">
        <f>IFERROR(IF(INDEX(tblCoupleReview[Applies To Month],MATCH(A9,tblCoupleReview[Transaction ID],0))=0,DATE(YEAR(B9),MONTH(B9),1),INDEX(tblCoupleReview[Applies To Month],MATCH(A9,tblCoupleReview[Transaction ID],0))),DATE(YEAR(B9),MONTH(B9),1))</f>
        <v/>
      </c>
      <c r="O9" s="53">
        <f>IFERROR(INDEX(tblCoupleReview[Status],MATCH(A9,tblCoupleReview[Transaction ID],0)),"Unreviewed")</f>
        <v/>
      </c>
      <c r="P9" s="53">
        <f>IFERROR(INDEX(tblCoupleReview[Notes],MATCH(A9,tblCoupleReview[Transaction ID],0)),"")</f>
        <v/>
      </c>
    </row>
    <row r="10">
      <c r="A10" t="inlineStr">
        <is>
          <t>SEP-006</t>
        </is>
      </c>
      <c r="B10" s="51" t="n">
        <v>46267</v>
      </c>
      <c r="C10" t="inlineStr">
        <is>
          <t>CIBC-JOINT-CHQ</t>
        </is>
      </c>
      <c r="D10" t="inlineStr">
        <is>
          <t>Transfer from Partner 2</t>
        </is>
      </c>
      <c r="E10" s="52" t="n">
        <v>2200</v>
      </c>
      <c r="F10" t="inlineStr">
        <is>
          <t>Internal Transfer</t>
        </is>
      </c>
      <c r="G10" t="inlineStr">
        <is>
          <t>Transfer</t>
        </is>
      </c>
      <c r="H10" s="53">
        <f>IFERROR(INDEX(tblAccounts[Institution],MATCH(C10,tblAccounts[Account ID],0)),"")</f>
        <v/>
      </c>
      <c r="I10" s="53">
        <f>IFERROR(INDEX(tblAccounts[Owner],MATCH(C10,tblAccounts[Account ID],0)),"")</f>
        <v/>
      </c>
      <c r="J10" s="53">
        <f>IFERROR(IF(INDEX(tblCoupleReview[Type Override],MATCH(A10,tblCoupleReview[Transaction ID],0))="",F10,INDEX(tblCoupleReview[Type Override],MATCH(A10,tblCoupleReview[Transaction ID],0))),F10)</f>
        <v/>
      </c>
      <c r="K10" s="53">
        <f>IFERROR(IF(INDEX(tblCoupleReview[Category Override],MATCH(A10,tblCoupleReview[Transaction ID],0))="",G10,INDEX(tblCoupleReview[Category Override],MATCH(A10,tblCoupleReview[Transaction ID],0))),G10)</f>
        <v/>
      </c>
      <c r="L10" s="53">
        <f>IFERROR(INDEX(tblCoupleReview[Budget For],MATCH(A10,tblCoupleReview[Transaction ID],0)),"Household")</f>
        <v/>
      </c>
      <c r="M10" s="53">
        <f>IFERROR(INDEX(tblCoupleReview[Related Transaction],MATCH(A10,tblCoupleReview[Transaction ID],0)),"")</f>
        <v/>
      </c>
      <c r="N10" s="54">
        <f>IFERROR(IF(INDEX(tblCoupleReview[Applies To Month],MATCH(A10,tblCoupleReview[Transaction ID],0))=0,DATE(YEAR(B10),MONTH(B10),1),INDEX(tblCoupleReview[Applies To Month],MATCH(A10,tblCoupleReview[Transaction ID],0))),DATE(YEAR(B10),MONTH(B10),1))</f>
        <v/>
      </c>
      <c r="O10" s="53">
        <f>IFERROR(INDEX(tblCoupleReview[Status],MATCH(A10,tblCoupleReview[Transaction ID],0)),"Unreviewed")</f>
        <v/>
      </c>
      <c r="P10" s="53">
        <f>IFERROR(INDEX(tblCoupleReview[Notes],MATCH(A10,tblCoupleReview[Transaction ID],0)),"")</f>
        <v/>
      </c>
    </row>
    <row r="11">
      <c r="A11" t="inlineStr">
        <is>
          <t>SEP-007</t>
        </is>
      </c>
      <c r="B11" s="51" t="n">
        <v>46268</v>
      </c>
      <c r="C11" t="inlineStr">
        <is>
          <t>CIBC-JOINT-CHQ</t>
        </is>
      </c>
      <c r="D11" t="inlineStr">
        <is>
          <t>Rent Payment</t>
        </is>
      </c>
      <c r="E11" s="52" t="n">
        <v>-2200</v>
      </c>
      <c r="F11" t="inlineStr">
        <is>
          <t>Expense</t>
        </is>
      </c>
      <c r="G11" t="inlineStr">
        <is>
          <t>Rent</t>
        </is>
      </c>
      <c r="H11" s="53">
        <f>IFERROR(INDEX(tblAccounts[Institution],MATCH(C11,tblAccounts[Account ID],0)),"")</f>
        <v/>
      </c>
      <c r="I11" s="53">
        <f>IFERROR(INDEX(tblAccounts[Owner],MATCH(C11,tblAccounts[Account ID],0)),"")</f>
        <v/>
      </c>
      <c r="J11" s="53">
        <f>IFERROR(IF(INDEX(tblCoupleReview[Type Override],MATCH(A11,tblCoupleReview[Transaction ID],0))="",F11,INDEX(tblCoupleReview[Type Override],MATCH(A11,tblCoupleReview[Transaction ID],0))),F11)</f>
        <v/>
      </c>
      <c r="K11" s="53">
        <f>IFERROR(IF(INDEX(tblCoupleReview[Category Override],MATCH(A11,tblCoupleReview[Transaction ID],0))="",G11,INDEX(tblCoupleReview[Category Override],MATCH(A11,tblCoupleReview[Transaction ID],0))),G11)</f>
        <v/>
      </c>
      <c r="L11" s="53">
        <f>IFERROR(INDEX(tblCoupleReview[Budget For],MATCH(A11,tblCoupleReview[Transaction ID],0)),"Household")</f>
        <v/>
      </c>
      <c r="M11" s="53">
        <f>IFERROR(INDEX(tblCoupleReview[Related Transaction],MATCH(A11,tblCoupleReview[Transaction ID],0)),"")</f>
        <v/>
      </c>
      <c r="N11" s="54">
        <f>IFERROR(IF(INDEX(tblCoupleReview[Applies To Month],MATCH(A11,tblCoupleReview[Transaction ID],0))=0,DATE(YEAR(B11),MONTH(B11),1),INDEX(tblCoupleReview[Applies To Month],MATCH(A11,tblCoupleReview[Transaction ID],0))),DATE(YEAR(B11),MONTH(B11),1))</f>
        <v/>
      </c>
      <c r="O11" s="53">
        <f>IFERROR(INDEX(tblCoupleReview[Status],MATCH(A11,tblCoupleReview[Transaction ID],0)),"Unreviewed")</f>
        <v/>
      </c>
      <c r="P11" s="53">
        <f>IFERROR(INDEX(tblCoupleReview[Notes],MATCH(A11,tblCoupleReview[Transaction ID],0)),"")</f>
        <v/>
      </c>
    </row>
    <row r="12">
      <c r="A12" t="inlineStr">
        <is>
          <t>SEP-008</t>
        </is>
      </c>
      <c r="B12" s="51" t="n">
        <v>46270</v>
      </c>
      <c r="C12" t="inlineStr">
        <is>
          <t>CIBC-JOINT-CHQ</t>
        </is>
      </c>
      <c r="D12" t="inlineStr">
        <is>
          <t>Utilities</t>
        </is>
      </c>
      <c r="E12" s="52" t="n">
        <v>-250</v>
      </c>
      <c r="F12" t="inlineStr">
        <is>
          <t>Expense</t>
        </is>
      </c>
      <c r="G12" t="inlineStr">
        <is>
          <t>Utilities</t>
        </is>
      </c>
      <c r="H12" s="53">
        <f>IFERROR(INDEX(tblAccounts[Institution],MATCH(C12,tblAccounts[Account ID],0)),"")</f>
        <v/>
      </c>
      <c r="I12" s="53">
        <f>IFERROR(INDEX(tblAccounts[Owner],MATCH(C12,tblAccounts[Account ID],0)),"")</f>
        <v/>
      </c>
      <c r="J12" s="53">
        <f>IFERROR(IF(INDEX(tblCoupleReview[Type Override],MATCH(A12,tblCoupleReview[Transaction ID],0))="",F12,INDEX(tblCoupleReview[Type Override],MATCH(A12,tblCoupleReview[Transaction ID],0))),F12)</f>
        <v/>
      </c>
      <c r="K12" s="53">
        <f>IFERROR(IF(INDEX(tblCoupleReview[Category Override],MATCH(A12,tblCoupleReview[Transaction ID],0))="",G12,INDEX(tblCoupleReview[Category Override],MATCH(A12,tblCoupleReview[Transaction ID],0))),G12)</f>
        <v/>
      </c>
      <c r="L12" s="53">
        <f>IFERROR(INDEX(tblCoupleReview[Budget For],MATCH(A12,tblCoupleReview[Transaction ID],0)),"Household")</f>
        <v/>
      </c>
      <c r="M12" s="53">
        <f>IFERROR(INDEX(tblCoupleReview[Related Transaction],MATCH(A12,tblCoupleReview[Transaction ID],0)),"")</f>
        <v/>
      </c>
      <c r="N12" s="54">
        <f>IFERROR(IF(INDEX(tblCoupleReview[Applies To Month],MATCH(A12,tblCoupleReview[Transaction ID],0))=0,DATE(YEAR(B12),MONTH(B12),1),INDEX(tblCoupleReview[Applies To Month],MATCH(A12,tblCoupleReview[Transaction ID],0))),DATE(YEAR(B12),MONTH(B12),1))</f>
        <v/>
      </c>
      <c r="O12" s="53">
        <f>IFERROR(INDEX(tblCoupleReview[Status],MATCH(A12,tblCoupleReview[Transaction ID],0)),"Unreviewed")</f>
        <v/>
      </c>
      <c r="P12" s="53">
        <f>IFERROR(INDEX(tblCoupleReview[Notes],MATCH(A12,tblCoupleReview[Transaction ID],0)),"")</f>
        <v/>
      </c>
    </row>
    <row r="13">
      <c r="A13" t="inlineStr">
        <is>
          <t>SEP-009</t>
        </is>
      </c>
      <c r="B13" s="51" t="n">
        <v>46271</v>
      </c>
      <c r="C13" t="inlineStr">
        <is>
          <t>CIBC-JOINT-CHQ</t>
        </is>
      </c>
      <c r="D13" t="inlineStr">
        <is>
          <t>Transfer to Goal Savings</t>
        </is>
      </c>
      <c r="E13" s="52" t="n">
        <v>-500</v>
      </c>
      <c r="F13" t="inlineStr">
        <is>
          <t>Internal Transfer</t>
        </is>
      </c>
      <c r="G13" t="inlineStr">
        <is>
          <t>Transfer</t>
        </is>
      </c>
      <c r="H13" s="53">
        <f>IFERROR(INDEX(tblAccounts[Institution],MATCH(C13,tblAccounts[Account ID],0)),"")</f>
        <v/>
      </c>
      <c r="I13" s="53">
        <f>IFERROR(INDEX(tblAccounts[Owner],MATCH(C13,tblAccounts[Account ID],0)),"")</f>
        <v/>
      </c>
      <c r="J13" s="53">
        <f>IFERROR(IF(INDEX(tblCoupleReview[Type Override],MATCH(A13,tblCoupleReview[Transaction ID],0))="",F13,INDEX(tblCoupleReview[Type Override],MATCH(A13,tblCoupleReview[Transaction ID],0))),F13)</f>
        <v/>
      </c>
      <c r="K13" s="53">
        <f>IFERROR(IF(INDEX(tblCoupleReview[Category Override],MATCH(A13,tblCoupleReview[Transaction ID],0))="",G13,INDEX(tblCoupleReview[Category Override],MATCH(A13,tblCoupleReview[Transaction ID],0))),G13)</f>
        <v/>
      </c>
      <c r="L13" s="53">
        <f>IFERROR(INDEX(tblCoupleReview[Budget For],MATCH(A13,tblCoupleReview[Transaction ID],0)),"Household")</f>
        <v/>
      </c>
      <c r="M13" s="53">
        <f>IFERROR(INDEX(tblCoupleReview[Related Transaction],MATCH(A13,tblCoupleReview[Transaction ID],0)),"")</f>
        <v/>
      </c>
      <c r="N13" s="54">
        <f>IFERROR(IF(INDEX(tblCoupleReview[Applies To Month],MATCH(A13,tblCoupleReview[Transaction ID],0))=0,DATE(YEAR(B13),MONTH(B13),1),INDEX(tblCoupleReview[Applies To Month],MATCH(A13,tblCoupleReview[Transaction ID],0))),DATE(YEAR(B13),MONTH(B13),1))</f>
        <v/>
      </c>
      <c r="O13" s="53">
        <f>IFERROR(INDEX(tblCoupleReview[Status],MATCH(A13,tblCoupleReview[Transaction ID],0)),"Unreviewed")</f>
        <v/>
      </c>
      <c r="P13" s="53">
        <f>IFERROR(INDEX(tblCoupleReview[Notes],MATCH(A13,tblCoupleReview[Transaction ID],0)),"")</f>
        <v/>
      </c>
    </row>
    <row r="14">
      <c r="A14" t="inlineStr">
        <is>
          <t>SEP-010</t>
        </is>
      </c>
      <c r="B14" s="51" t="n">
        <v>46271</v>
      </c>
      <c r="C14" t="inlineStr">
        <is>
          <t>RBC-JOINT-SAV</t>
        </is>
      </c>
      <c r="D14" t="inlineStr">
        <is>
          <t>Transfer from Joint Chequing</t>
        </is>
      </c>
      <c r="E14" s="52" t="n">
        <v>500</v>
      </c>
      <c r="F14" t="inlineStr">
        <is>
          <t>Internal Transfer</t>
        </is>
      </c>
      <c r="G14" t="inlineStr">
        <is>
          <t>Transfer</t>
        </is>
      </c>
      <c r="H14" s="53">
        <f>IFERROR(INDEX(tblAccounts[Institution],MATCH(C14,tblAccounts[Account ID],0)),"")</f>
        <v/>
      </c>
      <c r="I14" s="53">
        <f>IFERROR(INDEX(tblAccounts[Owner],MATCH(C14,tblAccounts[Account ID],0)),"")</f>
        <v/>
      </c>
      <c r="J14" s="53">
        <f>IFERROR(IF(INDEX(tblCoupleReview[Type Override],MATCH(A14,tblCoupleReview[Transaction ID],0))="",F14,INDEX(tblCoupleReview[Type Override],MATCH(A14,tblCoupleReview[Transaction ID],0))),F14)</f>
        <v/>
      </c>
      <c r="K14" s="53">
        <f>IFERROR(IF(INDEX(tblCoupleReview[Category Override],MATCH(A14,tblCoupleReview[Transaction ID],0))="",G14,INDEX(tblCoupleReview[Category Override],MATCH(A14,tblCoupleReview[Transaction ID],0))),G14)</f>
        <v/>
      </c>
      <c r="L14" s="53">
        <f>IFERROR(INDEX(tblCoupleReview[Budget For],MATCH(A14,tblCoupleReview[Transaction ID],0)),"Household")</f>
        <v/>
      </c>
      <c r="M14" s="53">
        <f>IFERROR(INDEX(tblCoupleReview[Related Transaction],MATCH(A14,tblCoupleReview[Transaction ID],0)),"")</f>
        <v/>
      </c>
      <c r="N14" s="54">
        <f>IFERROR(IF(INDEX(tblCoupleReview[Applies To Month],MATCH(A14,tblCoupleReview[Transaction ID],0))=0,DATE(YEAR(B14),MONTH(B14),1),INDEX(tblCoupleReview[Applies To Month],MATCH(A14,tblCoupleReview[Transaction ID],0))),DATE(YEAR(B14),MONTH(B14),1))</f>
        <v/>
      </c>
      <c r="O14" s="53">
        <f>IFERROR(INDEX(tblCoupleReview[Status],MATCH(A14,tblCoupleReview[Transaction ID],0)),"Unreviewed")</f>
        <v/>
      </c>
      <c r="P14" s="53">
        <f>IFERROR(INDEX(tblCoupleReview[Notes],MATCH(A14,tblCoupleReview[Transaction ID],0)),"")</f>
        <v/>
      </c>
    </row>
    <row r="15">
      <c r="A15" t="inlineStr">
        <is>
          <t>SEP-011</t>
        </is>
      </c>
      <c r="B15" s="51" t="n">
        <v>46272</v>
      </c>
      <c r="C15" t="inlineStr">
        <is>
          <t>CIBC-P1-CHQ</t>
        </is>
      </c>
      <c r="D15" t="inlineStr">
        <is>
          <t>TFSA Contribution</t>
        </is>
      </c>
      <c r="E15" s="52" t="n">
        <v>-500</v>
      </c>
      <c r="F15" t="inlineStr">
        <is>
          <t>Internal Transfer</t>
        </is>
      </c>
      <c r="G15" t="inlineStr">
        <is>
          <t>Transfer</t>
        </is>
      </c>
      <c r="H15" s="53">
        <f>IFERROR(INDEX(tblAccounts[Institution],MATCH(C15,tblAccounts[Account ID],0)),"")</f>
        <v/>
      </c>
      <c r="I15" s="53">
        <f>IFERROR(INDEX(tblAccounts[Owner],MATCH(C15,tblAccounts[Account ID],0)),"")</f>
        <v/>
      </c>
      <c r="J15" s="53">
        <f>IFERROR(IF(INDEX(tblCoupleReview[Type Override],MATCH(A15,tblCoupleReview[Transaction ID],0))="",F15,INDEX(tblCoupleReview[Type Override],MATCH(A15,tblCoupleReview[Transaction ID],0))),F15)</f>
        <v/>
      </c>
      <c r="K15" s="53">
        <f>IFERROR(IF(INDEX(tblCoupleReview[Category Override],MATCH(A15,tblCoupleReview[Transaction ID],0))="",G15,INDEX(tblCoupleReview[Category Override],MATCH(A15,tblCoupleReview[Transaction ID],0))),G15)</f>
        <v/>
      </c>
      <c r="L15" s="53">
        <f>IFERROR(INDEX(tblCoupleReview[Budget For],MATCH(A15,tblCoupleReview[Transaction ID],0)),"Household")</f>
        <v/>
      </c>
      <c r="M15" s="53">
        <f>IFERROR(INDEX(tblCoupleReview[Related Transaction],MATCH(A15,tblCoupleReview[Transaction ID],0)),"")</f>
        <v/>
      </c>
      <c r="N15" s="54">
        <f>IFERROR(IF(INDEX(tblCoupleReview[Applies To Month],MATCH(A15,tblCoupleReview[Transaction ID],0))=0,DATE(YEAR(B15),MONTH(B15),1),INDEX(tblCoupleReview[Applies To Month],MATCH(A15,tblCoupleReview[Transaction ID],0))),DATE(YEAR(B15),MONTH(B15),1))</f>
        <v/>
      </c>
      <c r="O15" s="53">
        <f>IFERROR(INDEX(tblCoupleReview[Status],MATCH(A15,tblCoupleReview[Transaction ID],0)),"Unreviewed")</f>
        <v/>
      </c>
      <c r="P15" s="53">
        <f>IFERROR(INDEX(tblCoupleReview[Notes],MATCH(A15,tblCoupleReview[Transaction ID],0)),"")</f>
        <v/>
      </c>
    </row>
    <row r="16">
      <c r="A16" t="inlineStr">
        <is>
          <t>SEP-012</t>
        </is>
      </c>
      <c r="B16" s="51" t="n">
        <v>46272</v>
      </c>
      <c r="C16" t="inlineStr">
        <is>
          <t>RBC-P2-CHQ</t>
        </is>
      </c>
      <c r="D16" t="inlineStr">
        <is>
          <t>TFSA Contribution</t>
        </is>
      </c>
      <c r="E16" s="52" t="n">
        <v>-500</v>
      </c>
      <c r="F16" t="inlineStr">
        <is>
          <t>Internal Transfer</t>
        </is>
      </c>
      <c r="G16" t="inlineStr">
        <is>
          <t>Transfer</t>
        </is>
      </c>
      <c r="H16" s="53">
        <f>IFERROR(INDEX(tblAccounts[Institution],MATCH(C16,tblAccounts[Account ID],0)),"")</f>
        <v/>
      </c>
      <c r="I16" s="53">
        <f>IFERROR(INDEX(tblAccounts[Owner],MATCH(C16,tblAccounts[Account ID],0)),"")</f>
        <v/>
      </c>
      <c r="J16" s="53">
        <f>IFERROR(IF(INDEX(tblCoupleReview[Type Override],MATCH(A16,tblCoupleReview[Transaction ID],0))="",F16,INDEX(tblCoupleReview[Type Override],MATCH(A16,tblCoupleReview[Transaction ID],0))),F16)</f>
        <v/>
      </c>
      <c r="K16" s="53">
        <f>IFERROR(IF(INDEX(tblCoupleReview[Category Override],MATCH(A16,tblCoupleReview[Transaction ID],0))="",G16,INDEX(tblCoupleReview[Category Override],MATCH(A16,tblCoupleReview[Transaction ID],0))),G16)</f>
        <v/>
      </c>
      <c r="L16" s="53">
        <f>IFERROR(INDEX(tblCoupleReview[Budget For],MATCH(A16,tblCoupleReview[Transaction ID],0)),"Household")</f>
        <v/>
      </c>
      <c r="M16" s="53">
        <f>IFERROR(INDEX(tblCoupleReview[Related Transaction],MATCH(A16,tblCoupleReview[Transaction ID],0)),"")</f>
        <v/>
      </c>
      <c r="N16" s="54">
        <f>IFERROR(IF(INDEX(tblCoupleReview[Applies To Month],MATCH(A16,tblCoupleReview[Transaction ID],0))=0,DATE(YEAR(B16),MONTH(B16),1),INDEX(tblCoupleReview[Applies To Month],MATCH(A16,tblCoupleReview[Transaction ID],0))),DATE(YEAR(B16),MONTH(B16),1))</f>
        <v/>
      </c>
      <c r="O16" s="53">
        <f>IFERROR(INDEX(tblCoupleReview[Status],MATCH(A16,tblCoupleReview[Transaction ID],0)),"Unreviewed")</f>
        <v/>
      </c>
      <c r="P16" s="53">
        <f>IFERROR(INDEX(tblCoupleReview[Notes],MATCH(A16,tblCoupleReview[Transaction ID],0)),"")</f>
        <v/>
      </c>
    </row>
    <row r="17">
      <c r="A17" t="inlineStr">
        <is>
          <t>SEP-013</t>
        </is>
      </c>
      <c r="B17" s="51" t="n">
        <v>46273</v>
      </c>
      <c r="C17" t="inlineStr">
        <is>
          <t>CIBC-P1-VISA</t>
        </is>
      </c>
      <c r="D17" t="inlineStr">
        <is>
          <t>Grocery Store</t>
        </is>
      </c>
      <c r="E17" s="52" t="n">
        <v>-300</v>
      </c>
      <c r="F17" t="inlineStr">
        <is>
          <t>Expense</t>
        </is>
      </c>
      <c r="G17" t="inlineStr">
        <is>
          <t>Groceries</t>
        </is>
      </c>
      <c r="H17" s="53">
        <f>IFERROR(INDEX(tblAccounts[Institution],MATCH(C17,tblAccounts[Account ID],0)),"")</f>
        <v/>
      </c>
      <c r="I17" s="53">
        <f>IFERROR(INDEX(tblAccounts[Owner],MATCH(C17,tblAccounts[Account ID],0)),"")</f>
        <v/>
      </c>
      <c r="J17" s="53">
        <f>IFERROR(IF(INDEX(tblCoupleReview[Type Override],MATCH(A17,tblCoupleReview[Transaction ID],0))="",F17,INDEX(tblCoupleReview[Type Override],MATCH(A17,tblCoupleReview[Transaction ID],0))),F17)</f>
        <v/>
      </c>
      <c r="K17" s="53">
        <f>IFERROR(IF(INDEX(tblCoupleReview[Category Override],MATCH(A17,tblCoupleReview[Transaction ID],0))="",G17,INDEX(tblCoupleReview[Category Override],MATCH(A17,tblCoupleReview[Transaction ID],0))),G17)</f>
        <v/>
      </c>
      <c r="L17" s="53">
        <f>IFERROR(INDEX(tblCoupleReview[Budget For],MATCH(A17,tblCoupleReview[Transaction ID],0)),"Household")</f>
        <v/>
      </c>
      <c r="M17" s="53">
        <f>IFERROR(INDEX(tblCoupleReview[Related Transaction],MATCH(A17,tblCoupleReview[Transaction ID],0)),"")</f>
        <v/>
      </c>
      <c r="N17" s="54">
        <f>IFERROR(IF(INDEX(tblCoupleReview[Applies To Month],MATCH(A17,tblCoupleReview[Transaction ID],0))=0,DATE(YEAR(B17),MONTH(B17),1),INDEX(tblCoupleReview[Applies To Month],MATCH(A17,tblCoupleReview[Transaction ID],0))),DATE(YEAR(B17),MONTH(B17),1))</f>
        <v/>
      </c>
      <c r="O17" s="53">
        <f>IFERROR(INDEX(tblCoupleReview[Status],MATCH(A17,tblCoupleReview[Transaction ID],0)),"Unreviewed")</f>
        <v/>
      </c>
      <c r="P17" s="53">
        <f>IFERROR(INDEX(tblCoupleReview[Notes],MATCH(A17,tblCoupleReview[Transaction ID],0)),"")</f>
        <v/>
      </c>
    </row>
    <row r="18">
      <c r="A18" t="inlineStr">
        <is>
          <t>SEP-014</t>
        </is>
      </c>
      <c r="B18" s="51" t="n">
        <v>46274</v>
      </c>
      <c r="C18" t="inlineStr">
        <is>
          <t>RBC-P2-VISA</t>
        </is>
      </c>
      <c r="D18" t="inlineStr">
        <is>
          <t>Grocery Store</t>
        </is>
      </c>
      <c r="E18" s="52" t="n">
        <v>-300</v>
      </c>
      <c r="F18" t="inlineStr">
        <is>
          <t>Expense</t>
        </is>
      </c>
      <c r="G18" t="inlineStr">
        <is>
          <t>Groceries</t>
        </is>
      </c>
      <c r="H18" s="53">
        <f>IFERROR(INDEX(tblAccounts[Institution],MATCH(C18,tblAccounts[Account ID],0)),"")</f>
        <v/>
      </c>
      <c r="I18" s="53">
        <f>IFERROR(INDEX(tblAccounts[Owner],MATCH(C18,tblAccounts[Account ID],0)),"")</f>
        <v/>
      </c>
      <c r="J18" s="53">
        <f>IFERROR(IF(INDEX(tblCoupleReview[Type Override],MATCH(A18,tblCoupleReview[Transaction ID],0))="",F18,INDEX(tblCoupleReview[Type Override],MATCH(A18,tblCoupleReview[Transaction ID],0))),F18)</f>
        <v/>
      </c>
      <c r="K18" s="53">
        <f>IFERROR(IF(INDEX(tblCoupleReview[Category Override],MATCH(A18,tblCoupleReview[Transaction ID],0))="",G18,INDEX(tblCoupleReview[Category Override],MATCH(A18,tblCoupleReview[Transaction ID],0))),G18)</f>
        <v/>
      </c>
      <c r="L18" s="53">
        <f>IFERROR(INDEX(tblCoupleReview[Budget For],MATCH(A18,tblCoupleReview[Transaction ID],0)),"Household")</f>
        <v/>
      </c>
      <c r="M18" s="53">
        <f>IFERROR(INDEX(tblCoupleReview[Related Transaction],MATCH(A18,tblCoupleReview[Transaction ID],0)),"")</f>
        <v/>
      </c>
      <c r="N18" s="54">
        <f>IFERROR(IF(INDEX(tblCoupleReview[Applies To Month],MATCH(A18,tblCoupleReview[Transaction ID],0))=0,DATE(YEAR(B18),MONTH(B18),1),INDEX(tblCoupleReview[Applies To Month],MATCH(A18,tblCoupleReview[Transaction ID],0))),DATE(YEAR(B18),MONTH(B18),1))</f>
        <v/>
      </c>
      <c r="O18" s="53">
        <f>IFERROR(INDEX(tblCoupleReview[Status],MATCH(A18,tblCoupleReview[Transaction ID],0)),"Unreviewed")</f>
        <v/>
      </c>
      <c r="P18" s="53">
        <f>IFERROR(INDEX(tblCoupleReview[Notes],MATCH(A18,tblCoupleReview[Transaction ID],0)),"")</f>
        <v/>
      </c>
    </row>
    <row r="19">
      <c r="A19" t="inlineStr">
        <is>
          <t>SEP-015</t>
        </is>
      </c>
      <c r="B19" s="51" t="n">
        <v>46277</v>
      </c>
      <c r="C19" t="inlineStr">
        <is>
          <t>CIBC-P1-VISA</t>
        </is>
      </c>
      <c r="D19" t="inlineStr">
        <is>
          <t>Dinner with Friends</t>
        </is>
      </c>
      <c r="E19" s="52" t="n">
        <v>-250</v>
      </c>
      <c r="F19" t="inlineStr">
        <is>
          <t>Expense</t>
        </is>
      </c>
      <c r="G19" t="inlineStr">
        <is>
          <t>Restaurants</t>
        </is>
      </c>
      <c r="H19" s="53">
        <f>IFERROR(INDEX(tblAccounts[Institution],MATCH(C19,tblAccounts[Account ID],0)),"")</f>
        <v/>
      </c>
      <c r="I19" s="53">
        <f>IFERROR(INDEX(tblAccounts[Owner],MATCH(C19,tblAccounts[Account ID],0)),"")</f>
        <v/>
      </c>
      <c r="J19" s="53">
        <f>IFERROR(IF(INDEX(tblCoupleReview[Type Override],MATCH(A19,tblCoupleReview[Transaction ID],0))="",F19,INDEX(tblCoupleReview[Type Override],MATCH(A19,tblCoupleReview[Transaction ID],0))),F19)</f>
        <v/>
      </c>
      <c r="K19" s="53">
        <f>IFERROR(IF(INDEX(tblCoupleReview[Category Override],MATCH(A19,tblCoupleReview[Transaction ID],0))="",G19,INDEX(tblCoupleReview[Category Override],MATCH(A19,tblCoupleReview[Transaction ID],0))),G19)</f>
        <v/>
      </c>
      <c r="L19" s="53">
        <f>IFERROR(INDEX(tblCoupleReview[Budget For],MATCH(A19,tblCoupleReview[Transaction ID],0)),"Household")</f>
        <v/>
      </c>
      <c r="M19" s="53">
        <f>IFERROR(INDEX(tblCoupleReview[Related Transaction],MATCH(A19,tblCoupleReview[Transaction ID],0)),"")</f>
        <v/>
      </c>
      <c r="N19" s="54">
        <f>IFERROR(IF(INDEX(tblCoupleReview[Applies To Month],MATCH(A19,tblCoupleReview[Transaction ID],0))=0,DATE(YEAR(B19),MONTH(B19),1),INDEX(tblCoupleReview[Applies To Month],MATCH(A19,tblCoupleReview[Transaction ID],0))),DATE(YEAR(B19),MONTH(B19),1))</f>
        <v/>
      </c>
      <c r="O19" s="53">
        <f>IFERROR(INDEX(tblCoupleReview[Status],MATCH(A19,tblCoupleReview[Transaction ID],0)),"Unreviewed")</f>
        <v/>
      </c>
      <c r="P19" s="53">
        <f>IFERROR(INDEX(tblCoupleReview[Notes],MATCH(A19,tblCoupleReview[Transaction ID],0)),"")</f>
        <v/>
      </c>
    </row>
    <row r="20">
      <c r="A20" t="inlineStr">
        <is>
          <t>SEP-016</t>
        </is>
      </c>
      <c r="B20" s="51" t="n">
        <v>46278</v>
      </c>
      <c r="C20" t="inlineStr">
        <is>
          <t>CIBC-P1-CHQ</t>
        </is>
      </c>
      <c r="D20" t="inlineStr">
        <is>
          <t>E-transfer from Friend</t>
        </is>
      </c>
      <c r="E20" s="52" t="n">
        <v>50</v>
      </c>
      <c r="F20" t="inlineStr">
        <is>
          <t>Income</t>
        </is>
      </c>
      <c r="G20" t="inlineStr">
        <is>
          <t>Bank</t>
        </is>
      </c>
      <c r="H20" s="53">
        <f>IFERROR(INDEX(tblAccounts[Institution],MATCH(C20,tblAccounts[Account ID],0)),"")</f>
        <v/>
      </c>
      <c r="I20" s="53">
        <f>IFERROR(INDEX(tblAccounts[Owner],MATCH(C20,tblAccounts[Account ID],0)),"")</f>
        <v/>
      </c>
      <c r="J20" s="53">
        <f>IFERROR(IF(INDEX(tblCoupleReview[Type Override],MATCH(A20,tblCoupleReview[Transaction ID],0))="",F20,INDEX(tblCoupleReview[Type Override],MATCH(A20,tblCoupleReview[Transaction ID],0))),F20)</f>
        <v/>
      </c>
      <c r="K20" s="53">
        <f>IFERROR(IF(INDEX(tblCoupleReview[Category Override],MATCH(A20,tblCoupleReview[Transaction ID],0))="",G20,INDEX(tblCoupleReview[Category Override],MATCH(A20,tblCoupleReview[Transaction ID],0))),G20)</f>
        <v/>
      </c>
      <c r="L20" s="53">
        <f>IFERROR(INDEX(tblCoupleReview[Budget For],MATCH(A20,tblCoupleReview[Transaction ID],0)),"Household")</f>
        <v/>
      </c>
      <c r="M20" s="53">
        <f>IFERROR(INDEX(tblCoupleReview[Related Transaction],MATCH(A20,tblCoupleReview[Transaction ID],0)),"")</f>
        <v/>
      </c>
      <c r="N20" s="54">
        <f>IFERROR(IF(INDEX(tblCoupleReview[Applies To Month],MATCH(A20,tblCoupleReview[Transaction ID],0))=0,DATE(YEAR(B20),MONTH(B20),1),INDEX(tblCoupleReview[Applies To Month],MATCH(A20,tblCoupleReview[Transaction ID],0))),DATE(YEAR(B20),MONTH(B20),1))</f>
        <v/>
      </c>
      <c r="O20" s="53">
        <f>IFERROR(INDEX(tblCoupleReview[Status],MATCH(A20,tblCoupleReview[Transaction ID],0)),"Unreviewed")</f>
        <v/>
      </c>
      <c r="P20" s="53">
        <f>IFERROR(INDEX(tblCoupleReview[Notes],MATCH(A20,tblCoupleReview[Transaction ID],0)),"")</f>
        <v/>
      </c>
    </row>
    <row r="21">
      <c r="A21" t="inlineStr">
        <is>
          <t>SEP-017</t>
        </is>
      </c>
      <c r="B21" s="51" t="n">
        <v>46279</v>
      </c>
      <c r="C21" t="inlineStr">
        <is>
          <t>CIBC-P1-VISA</t>
        </is>
      </c>
      <c r="D21" t="inlineStr">
        <is>
          <t>Transit and Fuel</t>
        </is>
      </c>
      <c r="E21" s="52" t="n">
        <v>-100</v>
      </c>
      <c r="F21" t="inlineStr">
        <is>
          <t>Expense</t>
        </is>
      </c>
      <c r="G21" t="inlineStr">
        <is>
          <t>Transportation</t>
        </is>
      </c>
      <c r="H21" s="53">
        <f>IFERROR(INDEX(tblAccounts[Institution],MATCH(C21,tblAccounts[Account ID],0)),"")</f>
        <v/>
      </c>
      <c r="I21" s="53">
        <f>IFERROR(INDEX(tblAccounts[Owner],MATCH(C21,tblAccounts[Account ID],0)),"")</f>
        <v/>
      </c>
      <c r="J21" s="53">
        <f>IFERROR(IF(INDEX(tblCoupleReview[Type Override],MATCH(A21,tblCoupleReview[Transaction ID],0))="",F21,INDEX(tblCoupleReview[Type Override],MATCH(A21,tblCoupleReview[Transaction ID],0))),F21)</f>
        <v/>
      </c>
      <c r="K21" s="53">
        <f>IFERROR(IF(INDEX(tblCoupleReview[Category Override],MATCH(A21,tblCoupleReview[Transaction ID],0))="",G21,INDEX(tblCoupleReview[Category Override],MATCH(A21,tblCoupleReview[Transaction ID],0))),G21)</f>
        <v/>
      </c>
      <c r="L21" s="53">
        <f>IFERROR(INDEX(tblCoupleReview[Budget For],MATCH(A21,tblCoupleReview[Transaction ID],0)),"Household")</f>
        <v/>
      </c>
      <c r="M21" s="53">
        <f>IFERROR(INDEX(tblCoupleReview[Related Transaction],MATCH(A21,tblCoupleReview[Transaction ID],0)),"")</f>
        <v/>
      </c>
      <c r="N21" s="54">
        <f>IFERROR(IF(INDEX(tblCoupleReview[Applies To Month],MATCH(A21,tblCoupleReview[Transaction ID],0))=0,DATE(YEAR(B21),MONTH(B21),1),INDEX(tblCoupleReview[Applies To Month],MATCH(A21,tblCoupleReview[Transaction ID],0))),DATE(YEAR(B21),MONTH(B21),1))</f>
        <v/>
      </c>
      <c r="O21" s="53">
        <f>IFERROR(INDEX(tblCoupleReview[Status],MATCH(A21,tblCoupleReview[Transaction ID],0)),"Unreviewed")</f>
        <v/>
      </c>
      <c r="P21" s="53">
        <f>IFERROR(INDEX(tblCoupleReview[Notes],MATCH(A21,tblCoupleReview[Transaction ID],0)),"")</f>
        <v/>
      </c>
    </row>
    <row r="22">
      <c r="A22" t="inlineStr">
        <is>
          <t>SEP-018</t>
        </is>
      </c>
      <c r="B22" s="51" t="n">
        <v>46280</v>
      </c>
      <c r="C22" t="inlineStr">
        <is>
          <t>RBC-P2-VISA</t>
        </is>
      </c>
      <c r="D22" t="inlineStr">
        <is>
          <t>Transit and Fuel</t>
        </is>
      </c>
      <c r="E22" s="52" t="n">
        <v>-100</v>
      </c>
      <c r="F22" t="inlineStr">
        <is>
          <t>Expense</t>
        </is>
      </c>
      <c r="G22" t="inlineStr">
        <is>
          <t>Transportation</t>
        </is>
      </c>
      <c r="H22" s="53">
        <f>IFERROR(INDEX(tblAccounts[Institution],MATCH(C22,tblAccounts[Account ID],0)),"")</f>
        <v/>
      </c>
      <c r="I22" s="53">
        <f>IFERROR(INDEX(tblAccounts[Owner],MATCH(C22,tblAccounts[Account ID],0)),"")</f>
        <v/>
      </c>
      <c r="J22" s="53">
        <f>IFERROR(IF(INDEX(tblCoupleReview[Type Override],MATCH(A22,tblCoupleReview[Transaction ID],0))="",F22,INDEX(tblCoupleReview[Type Override],MATCH(A22,tblCoupleReview[Transaction ID],0))),F22)</f>
        <v/>
      </c>
      <c r="K22" s="53">
        <f>IFERROR(IF(INDEX(tblCoupleReview[Category Override],MATCH(A22,tblCoupleReview[Transaction ID],0))="",G22,INDEX(tblCoupleReview[Category Override],MATCH(A22,tblCoupleReview[Transaction ID],0))),G22)</f>
        <v/>
      </c>
      <c r="L22" s="53">
        <f>IFERROR(INDEX(tblCoupleReview[Budget For],MATCH(A22,tblCoupleReview[Transaction ID],0)),"Household")</f>
        <v/>
      </c>
      <c r="M22" s="53">
        <f>IFERROR(INDEX(tblCoupleReview[Related Transaction],MATCH(A22,tblCoupleReview[Transaction ID],0)),"")</f>
        <v/>
      </c>
      <c r="N22" s="54">
        <f>IFERROR(IF(INDEX(tblCoupleReview[Applies To Month],MATCH(A22,tblCoupleReview[Transaction ID],0))=0,DATE(YEAR(B22),MONTH(B22),1),INDEX(tblCoupleReview[Applies To Month],MATCH(A22,tblCoupleReview[Transaction ID],0))),DATE(YEAR(B22),MONTH(B22),1))</f>
        <v/>
      </c>
      <c r="O22" s="53">
        <f>IFERROR(INDEX(tblCoupleReview[Status],MATCH(A22,tblCoupleReview[Transaction ID],0)),"Unreviewed")</f>
        <v/>
      </c>
      <c r="P22" s="53">
        <f>IFERROR(INDEX(tblCoupleReview[Notes],MATCH(A22,tblCoupleReview[Transaction ID],0)),"")</f>
        <v/>
      </c>
    </row>
    <row r="23">
      <c r="A23" t="inlineStr">
        <is>
          <t>SEP-019</t>
        </is>
      </c>
      <c r="B23" s="51" t="n">
        <v>46281</v>
      </c>
      <c r="C23" t="inlineStr">
        <is>
          <t>CIBC-JOINT-CHQ</t>
        </is>
      </c>
      <c r="D23" t="inlineStr">
        <is>
          <t>Streaming Services</t>
        </is>
      </c>
      <c r="E23" s="52" t="n">
        <v>-40</v>
      </c>
      <c r="F23" t="inlineStr">
        <is>
          <t>Expense</t>
        </is>
      </c>
      <c r="G23" t="inlineStr">
        <is>
          <t>Subscriptions</t>
        </is>
      </c>
      <c r="H23" s="53">
        <f>IFERROR(INDEX(tblAccounts[Institution],MATCH(C23,tblAccounts[Account ID],0)),"")</f>
        <v/>
      </c>
      <c r="I23" s="53">
        <f>IFERROR(INDEX(tblAccounts[Owner],MATCH(C23,tblAccounts[Account ID],0)),"")</f>
        <v/>
      </c>
      <c r="J23" s="53">
        <f>IFERROR(IF(INDEX(tblCoupleReview[Type Override],MATCH(A23,tblCoupleReview[Transaction ID],0))="",F23,INDEX(tblCoupleReview[Type Override],MATCH(A23,tblCoupleReview[Transaction ID],0))),F23)</f>
        <v/>
      </c>
      <c r="K23" s="53">
        <f>IFERROR(IF(INDEX(tblCoupleReview[Category Override],MATCH(A23,tblCoupleReview[Transaction ID],0))="",G23,INDEX(tblCoupleReview[Category Override],MATCH(A23,tblCoupleReview[Transaction ID],0))),G23)</f>
        <v/>
      </c>
      <c r="L23" s="53">
        <f>IFERROR(INDEX(tblCoupleReview[Budget For],MATCH(A23,tblCoupleReview[Transaction ID],0)),"Household")</f>
        <v/>
      </c>
      <c r="M23" s="53">
        <f>IFERROR(INDEX(tblCoupleReview[Related Transaction],MATCH(A23,tblCoupleReview[Transaction ID],0)),"")</f>
        <v/>
      </c>
      <c r="N23" s="54">
        <f>IFERROR(IF(INDEX(tblCoupleReview[Applies To Month],MATCH(A23,tblCoupleReview[Transaction ID],0))=0,DATE(YEAR(B23),MONTH(B23),1),INDEX(tblCoupleReview[Applies To Month],MATCH(A23,tblCoupleReview[Transaction ID],0))),DATE(YEAR(B23),MONTH(B23),1))</f>
        <v/>
      </c>
      <c r="O23" s="53">
        <f>IFERROR(INDEX(tblCoupleReview[Status],MATCH(A23,tblCoupleReview[Transaction ID],0)),"Unreviewed")</f>
        <v/>
      </c>
      <c r="P23" s="53">
        <f>IFERROR(INDEX(tblCoupleReview[Notes],MATCH(A23,tblCoupleReview[Transaction ID],0)),"")</f>
        <v/>
      </c>
    </row>
    <row r="24">
      <c r="A24" t="inlineStr">
        <is>
          <t>SEP-020</t>
        </is>
      </c>
      <c r="B24" s="51" t="n">
        <v>46283</v>
      </c>
      <c r="C24" t="inlineStr">
        <is>
          <t>CIBC-JOINT-CHQ</t>
        </is>
      </c>
      <c r="D24" t="inlineStr">
        <is>
          <t>Household Supplies</t>
        </is>
      </c>
      <c r="E24" s="52" t="n">
        <v>-100</v>
      </c>
      <c r="F24" t="inlineStr">
        <is>
          <t>Expense</t>
        </is>
      </c>
      <c r="G24" t="inlineStr">
        <is>
          <t>Household Supplies</t>
        </is>
      </c>
      <c r="H24" s="53">
        <f>IFERROR(INDEX(tblAccounts[Institution],MATCH(C24,tblAccounts[Account ID],0)),"")</f>
        <v/>
      </c>
      <c r="I24" s="53">
        <f>IFERROR(INDEX(tblAccounts[Owner],MATCH(C24,tblAccounts[Account ID],0)),"")</f>
        <v/>
      </c>
      <c r="J24" s="53">
        <f>IFERROR(IF(INDEX(tblCoupleReview[Type Override],MATCH(A24,tblCoupleReview[Transaction ID],0))="",F24,INDEX(tblCoupleReview[Type Override],MATCH(A24,tblCoupleReview[Transaction ID],0))),F24)</f>
        <v/>
      </c>
      <c r="K24" s="53">
        <f>IFERROR(IF(INDEX(tblCoupleReview[Category Override],MATCH(A24,tblCoupleReview[Transaction ID],0))="",G24,INDEX(tblCoupleReview[Category Override],MATCH(A24,tblCoupleReview[Transaction ID],0))),G24)</f>
        <v/>
      </c>
      <c r="L24" s="53">
        <f>IFERROR(INDEX(tblCoupleReview[Budget For],MATCH(A24,tblCoupleReview[Transaction ID],0)),"Household")</f>
        <v/>
      </c>
      <c r="M24" s="53">
        <f>IFERROR(INDEX(tblCoupleReview[Related Transaction],MATCH(A24,tblCoupleReview[Transaction ID],0)),"")</f>
        <v/>
      </c>
      <c r="N24" s="54">
        <f>IFERROR(IF(INDEX(tblCoupleReview[Applies To Month],MATCH(A24,tblCoupleReview[Transaction ID],0))=0,DATE(YEAR(B24),MONTH(B24),1),INDEX(tblCoupleReview[Applies To Month],MATCH(A24,tblCoupleReview[Transaction ID],0))),DATE(YEAR(B24),MONTH(B24),1))</f>
        <v/>
      </c>
      <c r="O24" s="53">
        <f>IFERROR(INDEX(tblCoupleReview[Status],MATCH(A24,tblCoupleReview[Transaction ID],0)),"Unreviewed")</f>
        <v/>
      </c>
      <c r="P24" s="53">
        <f>IFERROR(INDEX(tblCoupleReview[Notes],MATCH(A24,tblCoupleReview[Transaction ID],0)),"")</f>
        <v/>
      </c>
    </row>
    <row r="25">
      <c r="A25" t="inlineStr">
        <is>
          <t>SEP-021</t>
        </is>
      </c>
      <c r="B25" s="51" t="n">
        <v>46285</v>
      </c>
      <c r="C25" t="inlineStr">
        <is>
          <t>CIBC-P1-VISA</t>
        </is>
      </c>
      <c r="D25" t="inlineStr">
        <is>
          <t>Partner 1 Personal</t>
        </is>
      </c>
      <c r="E25" s="52" t="n">
        <v>-180</v>
      </c>
      <c r="F25" t="inlineStr">
        <is>
          <t>Expense</t>
        </is>
      </c>
      <c r="G25" t="inlineStr">
        <is>
          <t>Personal</t>
        </is>
      </c>
      <c r="H25" s="53">
        <f>IFERROR(INDEX(tblAccounts[Institution],MATCH(C25,tblAccounts[Account ID],0)),"")</f>
        <v/>
      </c>
      <c r="I25" s="53">
        <f>IFERROR(INDEX(tblAccounts[Owner],MATCH(C25,tblAccounts[Account ID],0)),"")</f>
        <v/>
      </c>
      <c r="J25" s="53">
        <f>IFERROR(IF(INDEX(tblCoupleReview[Type Override],MATCH(A25,tblCoupleReview[Transaction ID],0))="",F25,INDEX(tblCoupleReview[Type Override],MATCH(A25,tblCoupleReview[Transaction ID],0))),F25)</f>
        <v/>
      </c>
      <c r="K25" s="53">
        <f>IFERROR(IF(INDEX(tblCoupleReview[Category Override],MATCH(A25,tblCoupleReview[Transaction ID],0))="",G25,INDEX(tblCoupleReview[Category Override],MATCH(A25,tblCoupleReview[Transaction ID],0))),G25)</f>
        <v/>
      </c>
      <c r="L25" s="53">
        <f>IFERROR(INDEX(tblCoupleReview[Budget For],MATCH(A25,tblCoupleReview[Transaction ID],0)),"Household")</f>
        <v/>
      </c>
      <c r="M25" s="53">
        <f>IFERROR(INDEX(tblCoupleReview[Related Transaction],MATCH(A25,tblCoupleReview[Transaction ID],0)),"")</f>
        <v/>
      </c>
      <c r="N25" s="54">
        <f>IFERROR(IF(INDEX(tblCoupleReview[Applies To Month],MATCH(A25,tblCoupleReview[Transaction ID],0))=0,DATE(YEAR(B25),MONTH(B25),1),INDEX(tblCoupleReview[Applies To Month],MATCH(A25,tblCoupleReview[Transaction ID],0))),DATE(YEAR(B25),MONTH(B25),1))</f>
        <v/>
      </c>
      <c r="O25" s="53">
        <f>IFERROR(INDEX(tblCoupleReview[Status],MATCH(A25,tblCoupleReview[Transaction ID],0)),"Unreviewed")</f>
        <v/>
      </c>
      <c r="P25" s="53">
        <f>IFERROR(INDEX(tblCoupleReview[Notes],MATCH(A25,tblCoupleReview[Transaction ID],0)),"")</f>
        <v/>
      </c>
    </row>
    <row r="26">
      <c r="A26" t="inlineStr">
        <is>
          <t>SEP-022</t>
        </is>
      </c>
      <c r="B26" s="51" t="n">
        <v>46286</v>
      </c>
      <c r="C26" t="inlineStr">
        <is>
          <t>RBC-P2-VISA</t>
        </is>
      </c>
      <c r="D26" t="inlineStr">
        <is>
          <t>Partner 2 Personal</t>
        </is>
      </c>
      <c r="E26" s="52" t="n">
        <v>-160</v>
      </c>
      <c r="F26" t="inlineStr">
        <is>
          <t>Expense</t>
        </is>
      </c>
      <c r="G26" t="inlineStr">
        <is>
          <t>Personal</t>
        </is>
      </c>
      <c r="H26" s="53">
        <f>IFERROR(INDEX(tblAccounts[Institution],MATCH(C26,tblAccounts[Account ID],0)),"")</f>
        <v/>
      </c>
      <c r="I26" s="53">
        <f>IFERROR(INDEX(tblAccounts[Owner],MATCH(C26,tblAccounts[Account ID],0)),"")</f>
        <v/>
      </c>
      <c r="J26" s="53">
        <f>IFERROR(IF(INDEX(tblCoupleReview[Type Override],MATCH(A26,tblCoupleReview[Transaction ID],0))="",F26,INDEX(tblCoupleReview[Type Override],MATCH(A26,tblCoupleReview[Transaction ID],0))),F26)</f>
        <v/>
      </c>
      <c r="K26" s="53">
        <f>IFERROR(IF(INDEX(tblCoupleReview[Category Override],MATCH(A26,tblCoupleReview[Transaction ID],0))="",G26,INDEX(tblCoupleReview[Category Override],MATCH(A26,tblCoupleReview[Transaction ID],0))),G26)</f>
        <v/>
      </c>
      <c r="L26" s="53">
        <f>IFERROR(INDEX(tblCoupleReview[Budget For],MATCH(A26,tblCoupleReview[Transaction ID],0)),"Household")</f>
        <v/>
      </c>
      <c r="M26" s="53">
        <f>IFERROR(INDEX(tblCoupleReview[Related Transaction],MATCH(A26,tblCoupleReview[Transaction ID],0)),"")</f>
        <v/>
      </c>
      <c r="N26" s="54">
        <f>IFERROR(IF(INDEX(tblCoupleReview[Applies To Month],MATCH(A26,tblCoupleReview[Transaction ID],0))=0,DATE(YEAR(B26),MONTH(B26),1),INDEX(tblCoupleReview[Applies To Month],MATCH(A26,tblCoupleReview[Transaction ID],0))),DATE(YEAR(B26),MONTH(B26),1))</f>
        <v/>
      </c>
      <c r="O26" s="53">
        <f>IFERROR(INDEX(tblCoupleReview[Status],MATCH(A26,tblCoupleReview[Transaction ID],0)),"Unreviewed")</f>
        <v/>
      </c>
      <c r="P26" s="53">
        <f>IFERROR(INDEX(tblCoupleReview[Notes],MATCH(A26,tblCoupleReview[Transaction ID],0)),"")</f>
        <v/>
      </c>
    </row>
    <row r="27">
      <c r="A27" t="inlineStr">
        <is>
          <t>SEP-023</t>
        </is>
      </c>
      <c r="B27" s="51" t="n">
        <v>46291</v>
      </c>
      <c r="C27" t="inlineStr">
        <is>
          <t>CIBC-P1-CHQ</t>
        </is>
      </c>
      <c r="D27" t="inlineStr">
        <is>
          <t>Visa Payment</t>
        </is>
      </c>
      <c r="E27" s="52" t="n">
        <v>-830</v>
      </c>
      <c r="F27" t="inlineStr">
        <is>
          <t>Internal Transfer</t>
        </is>
      </c>
      <c r="G27" t="inlineStr">
        <is>
          <t>Transfer</t>
        </is>
      </c>
      <c r="H27" s="53">
        <f>IFERROR(INDEX(tblAccounts[Institution],MATCH(C27,tblAccounts[Account ID],0)),"")</f>
        <v/>
      </c>
      <c r="I27" s="53">
        <f>IFERROR(INDEX(tblAccounts[Owner],MATCH(C27,tblAccounts[Account ID],0)),"")</f>
        <v/>
      </c>
      <c r="J27" s="53">
        <f>IFERROR(IF(INDEX(tblCoupleReview[Type Override],MATCH(A27,tblCoupleReview[Transaction ID],0))="",F27,INDEX(tblCoupleReview[Type Override],MATCH(A27,tblCoupleReview[Transaction ID],0))),F27)</f>
        <v/>
      </c>
      <c r="K27" s="53">
        <f>IFERROR(IF(INDEX(tblCoupleReview[Category Override],MATCH(A27,tblCoupleReview[Transaction ID],0))="",G27,INDEX(tblCoupleReview[Category Override],MATCH(A27,tblCoupleReview[Transaction ID],0))),G27)</f>
        <v/>
      </c>
      <c r="L27" s="53">
        <f>IFERROR(INDEX(tblCoupleReview[Budget For],MATCH(A27,tblCoupleReview[Transaction ID],0)),"Household")</f>
        <v/>
      </c>
      <c r="M27" s="53">
        <f>IFERROR(INDEX(tblCoupleReview[Related Transaction],MATCH(A27,tblCoupleReview[Transaction ID],0)),"")</f>
        <v/>
      </c>
      <c r="N27" s="54">
        <f>IFERROR(IF(INDEX(tblCoupleReview[Applies To Month],MATCH(A27,tblCoupleReview[Transaction ID],0))=0,DATE(YEAR(B27),MONTH(B27),1),INDEX(tblCoupleReview[Applies To Month],MATCH(A27,tblCoupleReview[Transaction ID],0))),DATE(YEAR(B27),MONTH(B27),1))</f>
        <v/>
      </c>
      <c r="O27" s="53">
        <f>IFERROR(INDEX(tblCoupleReview[Status],MATCH(A27,tblCoupleReview[Transaction ID],0)),"Unreviewed")</f>
        <v/>
      </c>
      <c r="P27" s="53">
        <f>IFERROR(INDEX(tblCoupleReview[Notes],MATCH(A27,tblCoupleReview[Transaction ID],0)),"")</f>
        <v/>
      </c>
    </row>
    <row r="28">
      <c r="A28" t="inlineStr">
        <is>
          <t>SEP-024</t>
        </is>
      </c>
      <c r="B28" s="51" t="n">
        <v>46291</v>
      </c>
      <c r="C28" t="inlineStr">
        <is>
          <t>CIBC-P1-VISA</t>
        </is>
      </c>
      <c r="D28" t="inlineStr">
        <is>
          <t>Payment Received</t>
        </is>
      </c>
      <c r="E28" s="52" t="n">
        <v>830</v>
      </c>
      <c r="F28" t="inlineStr">
        <is>
          <t>Internal Transfer</t>
        </is>
      </c>
      <c r="G28" t="inlineStr">
        <is>
          <t>Transfer</t>
        </is>
      </c>
      <c r="H28" s="53">
        <f>IFERROR(INDEX(tblAccounts[Institution],MATCH(C28,tblAccounts[Account ID],0)),"")</f>
        <v/>
      </c>
      <c r="I28" s="53">
        <f>IFERROR(INDEX(tblAccounts[Owner],MATCH(C28,tblAccounts[Account ID],0)),"")</f>
        <v/>
      </c>
      <c r="J28" s="53">
        <f>IFERROR(IF(INDEX(tblCoupleReview[Type Override],MATCH(A28,tblCoupleReview[Transaction ID],0))="",F28,INDEX(tblCoupleReview[Type Override],MATCH(A28,tblCoupleReview[Transaction ID],0))),F28)</f>
        <v/>
      </c>
      <c r="K28" s="53">
        <f>IFERROR(IF(INDEX(tblCoupleReview[Category Override],MATCH(A28,tblCoupleReview[Transaction ID],0))="",G28,INDEX(tblCoupleReview[Category Override],MATCH(A28,tblCoupleReview[Transaction ID],0))),G28)</f>
        <v/>
      </c>
      <c r="L28" s="53">
        <f>IFERROR(INDEX(tblCoupleReview[Budget For],MATCH(A28,tblCoupleReview[Transaction ID],0)),"Household")</f>
        <v/>
      </c>
      <c r="M28" s="53">
        <f>IFERROR(INDEX(tblCoupleReview[Related Transaction],MATCH(A28,tblCoupleReview[Transaction ID],0)),"")</f>
        <v/>
      </c>
      <c r="N28" s="54">
        <f>IFERROR(IF(INDEX(tblCoupleReview[Applies To Month],MATCH(A28,tblCoupleReview[Transaction ID],0))=0,DATE(YEAR(B28),MONTH(B28),1),INDEX(tblCoupleReview[Applies To Month],MATCH(A28,tblCoupleReview[Transaction ID],0))),DATE(YEAR(B28),MONTH(B28),1))</f>
        <v/>
      </c>
      <c r="O28" s="53">
        <f>IFERROR(INDEX(tblCoupleReview[Status],MATCH(A28,tblCoupleReview[Transaction ID],0)),"Unreviewed")</f>
        <v/>
      </c>
      <c r="P28" s="53">
        <f>IFERROR(INDEX(tblCoupleReview[Notes],MATCH(A28,tblCoupleReview[Transaction ID],0)),"")</f>
        <v/>
      </c>
    </row>
    <row r="29">
      <c r="A29" t="inlineStr">
        <is>
          <t>SEP-025</t>
        </is>
      </c>
      <c r="B29" s="51" t="n">
        <v>46292</v>
      </c>
      <c r="C29" t="inlineStr">
        <is>
          <t>RBC-P2-CHQ</t>
        </is>
      </c>
      <c r="D29" t="inlineStr">
        <is>
          <t>Visa Payment</t>
        </is>
      </c>
      <c r="E29" s="52" t="n">
        <v>-660</v>
      </c>
      <c r="F29" t="inlineStr">
        <is>
          <t>Internal Transfer</t>
        </is>
      </c>
      <c r="G29" t="inlineStr">
        <is>
          <t>Transfer</t>
        </is>
      </c>
      <c r="H29" s="53">
        <f>IFERROR(INDEX(tblAccounts[Institution],MATCH(C29,tblAccounts[Account ID],0)),"")</f>
        <v/>
      </c>
      <c r="I29" s="53">
        <f>IFERROR(INDEX(tblAccounts[Owner],MATCH(C29,tblAccounts[Account ID],0)),"")</f>
        <v/>
      </c>
      <c r="J29" s="53">
        <f>IFERROR(IF(INDEX(tblCoupleReview[Type Override],MATCH(A29,tblCoupleReview[Transaction ID],0))="",F29,INDEX(tblCoupleReview[Type Override],MATCH(A29,tblCoupleReview[Transaction ID],0))),F29)</f>
        <v/>
      </c>
      <c r="K29" s="53">
        <f>IFERROR(IF(INDEX(tblCoupleReview[Category Override],MATCH(A29,tblCoupleReview[Transaction ID],0))="",G29,INDEX(tblCoupleReview[Category Override],MATCH(A29,tblCoupleReview[Transaction ID],0))),G29)</f>
        <v/>
      </c>
      <c r="L29" s="53">
        <f>IFERROR(INDEX(tblCoupleReview[Budget For],MATCH(A29,tblCoupleReview[Transaction ID],0)),"Household")</f>
        <v/>
      </c>
      <c r="M29" s="53">
        <f>IFERROR(INDEX(tblCoupleReview[Related Transaction],MATCH(A29,tblCoupleReview[Transaction ID],0)),"")</f>
        <v/>
      </c>
      <c r="N29" s="54">
        <f>IFERROR(IF(INDEX(tblCoupleReview[Applies To Month],MATCH(A29,tblCoupleReview[Transaction ID],0))=0,DATE(YEAR(B29),MONTH(B29),1),INDEX(tblCoupleReview[Applies To Month],MATCH(A29,tblCoupleReview[Transaction ID],0))),DATE(YEAR(B29),MONTH(B29),1))</f>
        <v/>
      </c>
      <c r="O29" s="53">
        <f>IFERROR(INDEX(tblCoupleReview[Status],MATCH(A29,tblCoupleReview[Transaction ID],0)),"Unreviewed")</f>
        <v/>
      </c>
      <c r="P29" s="53">
        <f>IFERROR(INDEX(tblCoupleReview[Notes],MATCH(A29,tblCoupleReview[Transaction ID],0)),"")</f>
        <v/>
      </c>
    </row>
    <row r="30">
      <c r="A30" t="inlineStr">
        <is>
          <t>SEP-026</t>
        </is>
      </c>
      <c r="B30" s="51" t="n">
        <v>46292</v>
      </c>
      <c r="C30" t="inlineStr">
        <is>
          <t>RBC-P2-VISA</t>
        </is>
      </c>
      <c r="D30" t="inlineStr">
        <is>
          <t>Payment Received</t>
        </is>
      </c>
      <c r="E30" s="52" t="n">
        <v>660</v>
      </c>
      <c r="F30" t="inlineStr">
        <is>
          <t>Internal Transfer</t>
        </is>
      </c>
      <c r="G30" t="inlineStr">
        <is>
          <t>Transfer</t>
        </is>
      </c>
      <c r="H30" s="53">
        <f>IFERROR(INDEX(tblAccounts[Institution],MATCH(C30,tblAccounts[Account ID],0)),"")</f>
        <v/>
      </c>
      <c r="I30" s="53">
        <f>IFERROR(INDEX(tblAccounts[Owner],MATCH(C30,tblAccounts[Account ID],0)),"")</f>
        <v/>
      </c>
      <c r="J30" s="53">
        <f>IFERROR(IF(INDEX(tblCoupleReview[Type Override],MATCH(A30,tblCoupleReview[Transaction ID],0))="",F30,INDEX(tblCoupleReview[Type Override],MATCH(A30,tblCoupleReview[Transaction ID],0))),F30)</f>
        <v/>
      </c>
      <c r="K30" s="53">
        <f>IFERROR(IF(INDEX(tblCoupleReview[Category Override],MATCH(A30,tblCoupleReview[Transaction ID],0))="",G30,INDEX(tblCoupleReview[Category Override],MATCH(A30,tblCoupleReview[Transaction ID],0))),G30)</f>
        <v/>
      </c>
      <c r="L30" s="53">
        <f>IFERROR(INDEX(tblCoupleReview[Budget For],MATCH(A30,tblCoupleReview[Transaction ID],0)),"Household")</f>
        <v/>
      </c>
      <c r="M30" s="53">
        <f>IFERROR(INDEX(tblCoupleReview[Related Transaction],MATCH(A30,tblCoupleReview[Transaction ID],0)),"")</f>
        <v/>
      </c>
      <c r="N30" s="54">
        <f>IFERROR(IF(INDEX(tblCoupleReview[Applies To Month],MATCH(A30,tblCoupleReview[Transaction ID],0))=0,DATE(YEAR(B30),MONTH(B30),1),INDEX(tblCoupleReview[Applies To Month],MATCH(A30,tblCoupleReview[Transaction ID],0))),DATE(YEAR(B30),MONTH(B30),1))</f>
        <v/>
      </c>
      <c r="O30" s="53">
        <f>IFERROR(INDEX(tblCoupleReview[Status],MATCH(A30,tblCoupleReview[Transaction ID],0)),"Unreviewed")</f>
        <v/>
      </c>
      <c r="P30" s="53">
        <f>IFERROR(INDEX(tblCoupleReview[Notes],MATCH(A30,tblCoupleReview[Transaction ID],0)),"")</f>
        <v/>
      </c>
    </row>
    <row r="31">
      <c r="A31" t="inlineStr">
        <is>
          <t>OCT-001</t>
        </is>
      </c>
      <c r="B31" s="51" t="n">
        <v>46296</v>
      </c>
      <c r="C31" t="inlineStr">
        <is>
          <t>CIBC-P1-CHQ</t>
        </is>
      </c>
      <c r="D31" t="inlineStr">
        <is>
          <t>Partner 1 Payroll</t>
        </is>
      </c>
      <c r="E31" s="52" t="n">
        <v>3500</v>
      </c>
      <c r="F31" t="inlineStr">
        <is>
          <t>Income</t>
        </is>
      </c>
      <c r="G31" t="inlineStr">
        <is>
          <t>Employment</t>
        </is>
      </c>
      <c r="H31" s="53">
        <f>IFERROR(INDEX(tblAccounts[Institution],MATCH(C31,tblAccounts[Account ID],0)),"")</f>
        <v/>
      </c>
      <c r="I31" s="53">
        <f>IFERROR(INDEX(tblAccounts[Owner],MATCH(C31,tblAccounts[Account ID],0)),"")</f>
        <v/>
      </c>
      <c r="J31" s="53">
        <f>IFERROR(IF(INDEX(tblCoupleReview[Type Override],MATCH(A31,tblCoupleReview[Transaction ID],0))="",F31,INDEX(tblCoupleReview[Type Override],MATCH(A31,tblCoupleReview[Transaction ID],0))),F31)</f>
        <v/>
      </c>
      <c r="K31" s="53">
        <f>IFERROR(IF(INDEX(tblCoupleReview[Category Override],MATCH(A31,tblCoupleReview[Transaction ID],0))="",G31,INDEX(tblCoupleReview[Category Override],MATCH(A31,tblCoupleReview[Transaction ID],0))),G31)</f>
        <v/>
      </c>
      <c r="L31" s="53">
        <f>IFERROR(INDEX(tblCoupleReview[Budget For],MATCH(A31,tblCoupleReview[Transaction ID],0)),"Household")</f>
        <v/>
      </c>
      <c r="M31" s="53">
        <f>IFERROR(INDEX(tblCoupleReview[Related Transaction],MATCH(A31,tblCoupleReview[Transaction ID],0)),"")</f>
        <v/>
      </c>
      <c r="N31" s="54">
        <f>IFERROR(IF(INDEX(tblCoupleReview[Applies To Month],MATCH(A31,tblCoupleReview[Transaction ID],0))=0,DATE(YEAR(B31),MONTH(B31),1),INDEX(tblCoupleReview[Applies To Month],MATCH(A31,tblCoupleReview[Transaction ID],0))),DATE(YEAR(B31),MONTH(B31),1))</f>
        <v/>
      </c>
      <c r="O31" s="53">
        <f>IFERROR(INDEX(tblCoupleReview[Status],MATCH(A31,tblCoupleReview[Transaction ID],0)),"Unreviewed")</f>
        <v/>
      </c>
      <c r="P31" s="53">
        <f>IFERROR(INDEX(tblCoupleReview[Notes],MATCH(A31,tblCoupleReview[Transaction ID],0)),"")</f>
        <v/>
      </c>
    </row>
    <row r="32">
      <c r="A32" t="inlineStr">
        <is>
          <t>OCT-002</t>
        </is>
      </c>
      <c r="B32" s="51" t="n">
        <v>46296</v>
      </c>
      <c r="C32" t="inlineStr">
        <is>
          <t>RBC-P2-CHQ</t>
        </is>
      </c>
      <c r="D32" t="inlineStr">
        <is>
          <t>Partner 2 Payroll</t>
        </is>
      </c>
      <c r="E32" s="52" t="n">
        <v>3200</v>
      </c>
      <c r="F32" t="inlineStr">
        <is>
          <t>Income</t>
        </is>
      </c>
      <c r="G32" t="inlineStr">
        <is>
          <t>Employment</t>
        </is>
      </c>
      <c r="H32" s="53">
        <f>IFERROR(INDEX(tblAccounts[Institution],MATCH(C32,tblAccounts[Account ID],0)),"")</f>
        <v/>
      </c>
      <c r="I32" s="53">
        <f>IFERROR(INDEX(tblAccounts[Owner],MATCH(C32,tblAccounts[Account ID],0)),"")</f>
        <v/>
      </c>
      <c r="J32" s="53">
        <f>IFERROR(IF(INDEX(tblCoupleReview[Type Override],MATCH(A32,tblCoupleReview[Transaction ID],0))="",F32,INDEX(tblCoupleReview[Type Override],MATCH(A32,tblCoupleReview[Transaction ID],0))),F32)</f>
        <v/>
      </c>
      <c r="K32" s="53">
        <f>IFERROR(IF(INDEX(tblCoupleReview[Category Override],MATCH(A32,tblCoupleReview[Transaction ID],0))="",G32,INDEX(tblCoupleReview[Category Override],MATCH(A32,tblCoupleReview[Transaction ID],0))),G32)</f>
        <v/>
      </c>
      <c r="L32" s="53">
        <f>IFERROR(INDEX(tblCoupleReview[Budget For],MATCH(A32,tblCoupleReview[Transaction ID],0)),"Household")</f>
        <v/>
      </c>
      <c r="M32" s="53">
        <f>IFERROR(INDEX(tblCoupleReview[Related Transaction],MATCH(A32,tblCoupleReview[Transaction ID],0)),"")</f>
        <v/>
      </c>
      <c r="N32" s="54">
        <f>IFERROR(IF(INDEX(tblCoupleReview[Applies To Month],MATCH(A32,tblCoupleReview[Transaction ID],0))=0,DATE(YEAR(B32),MONTH(B32),1),INDEX(tblCoupleReview[Applies To Month],MATCH(A32,tblCoupleReview[Transaction ID],0))),DATE(YEAR(B32),MONTH(B32),1))</f>
        <v/>
      </c>
      <c r="O32" s="53">
        <f>IFERROR(INDEX(tblCoupleReview[Status],MATCH(A32,tblCoupleReview[Transaction ID],0)),"Unreviewed")</f>
        <v/>
      </c>
      <c r="P32" s="53">
        <f>IFERROR(INDEX(tblCoupleReview[Notes],MATCH(A32,tblCoupleReview[Transaction ID],0)),"")</f>
        <v/>
      </c>
    </row>
    <row r="33">
      <c r="A33" t="inlineStr">
        <is>
          <t>OCT-003</t>
        </is>
      </c>
      <c r="B33" s="51" t="n">
        <v>46297</v>
      </c>
      <c r="C33" t="inlineStr">
        <is>
          <t>CIBC-P1-CHQ</t>
        </is>
      </c>
      <c r="D33" t="inlineStr">
        <is>
          <t>Transfer to Joint</t>
        </is>
      </c>
      <c r="E33" s="52" t="n">
        <v>-2500</v>
      </c>
      <c r="F33" t="inlineStr">
        <is>
          <t>Internal Transfer</t>
        </is>
      </c>
      <c r="G33" t="inlineStr">
        <is>
          <t>Transfer</t>
        </is>
      </c>
      <c r="H33" s="53">
        <f>IFERROR(INDEX(tblAccounts[Institution],MATCH(C33,tblAccounts[Account ID],0)),"")</f>
        <v/>
      </c>
      <c r="I33" s="53">
        <f>IFERROR(INDEX(tblAccounts[Owner],MATCH(C33,tblAccounts[Account ID],0)),"")</f>
        <v/>
      </c>
      <c r="J33" s="53">
        <f>IFERROR(IF(INDEX(tblCoupleReview[Type Override],MATCH(A33,tblCoupleReview[Transaction ID],0))="",F33,INDEX(tblCoupleReview[Type Override],MATCH(A33,tblCoupleReview[Transaction ID],0))),F33)</f>
        <v/>
      </c>
      <c r="K33" s="53">
        <f>IFERROR(IF(INDEX(tblCoupleReview[Category Override],MATCH(A33,tblCoupleReview[Transaction ID],0))="",G33,INDEX(tblCoupleReview[Category Override],MATCH(A33,tblCoupleReview[Transaction ID],0))),G33)</f>
        <v/>
      </c>
      <c r="L33" s="53">
        <f>IFERROR(INDEX(tblCoupleReview[Budget For],MATCH(A33,tblCoupleReview[Transaction ID],0)),"Household")</f>
        <v/>
      </c>
      <c r="M33" s="53">
        <f>IFERROR(INDEX(tblCoupleReview[Related Transaction],MATCH(A33,tblCoupleReview[Transaction ID],0)),"")</f>
        <v/>
      </c>
      <c r="N33" s="54">
        <f>IFERROR(IF(INDEX(tblCoupleReview[Applies To Month],MATCH(A33,tblCoupleReview[Transaction ID],0))=0,DATE(YEAR(B33),MONTH(B33),1),INDEX(tblCoupleReview[Applies To Month],MATCH(A33,tblCoupleReview[Transaction ID],0))),DATE(YEAR(B33),MONTH(B33),1))</f>
        <v/>
      </c>
      <c r="O33" s="53">
        <f>IFERROR(INDEX(tblCoupleReview[Status],MATCH(A33,tblCoupleReview[Transaction ID],0)),"Unreviewed")</f>
        <v/>
      </c>
      <c r="P33" s="53">
        <f>IFERROR(INDEX(tblCoupleReview[Notes],MATCH(A33,tblCoupleReview[Transaction ID],0)),"")</f>
        <v/>
      </c>
    </row>
    <row r="34">
      <c r="A34" t="inlineStr">
        <is>
          <t>OCT-004</t>
        </is>
      </c>
      <c r="B34" s="51" t="n">
        <v>46297</v>
      </c>
      <c r="C34" t="inlineStr">
        <is>
          <t>CIBC-JOINT-CHQ</t>
        </is>
      </c>
      <c r="D34" t="inlineStr">
        <is>
          <t>Transfer from Partner 1</t>
        </is>
      </c>
      <c r="E34" s="52" t="n">
        <v>2500</v>
      </c>
      <c r="F34" t="inlineStr">
        <is>
          <t>Internal Transfer</t>
        </is>
      </c>
      <c r="G34" t="inlineStr">
        <is>
          <t>Transfer</t>
        </is>
      </c>
      <c r="H34" s="53">
        <f>IFERROR(INDEX(tblAccounts[Institution],MATCH(C34,tblAccounts[Account ID],0)),"")</f>
        <v/>
      </c>
      <c r="I34" s="53">
        <f>IFERROR(INDEX(tblAccounts[Owner],MATCH(C34,tblAccounts[Account ID],0)),"")</f>
        <v/>
      </c>
      <c r="J34" s="53">
        <f>IFERROR(IF(INDEX(tblCoupleReview[Type Override],MATCH(A34,tblCoupleReview[Transaction ID],0))="",F34,INDEX(tblCoupleReview[Type Override],MATCH(A34,tblCoupleReview[Transaction ID],0))),F34)</f>
        <v/>
      </c>
      <c r="K34" s="53">
        <f>IFERROR(IF(INDEX(tblCoupleReview[Category Override],MATCH(A34,tblCoupleReview[Transaction ID],0))="",G34,INDEX(tblCoupleReview[Category Override],MATCH(A34,tblCoupleReview[Transaction ID],0))),G34)</f>
        <v/>
      </c>
      <c r="L34" s="53">
        <f>IFERROR(INDEX(tblCoupleReview[Budget For],MATCH(A34,tblCoupleReview[Transaction ID],0)),"Household")</f>
        <v/>
      </c>
      <c r="M34" s="53">
        <f>IFERROR(INDEX(tblCoupleReview[Related Transaction],MATCH(A34,tblCoupleReview[Transaction ID],0)),"")</f>
        <v/>
      </c>
      <c r="N34" s="54">
        <f>IFERROR(IF(INDEX(tblCoupleReview[Applies To Month],MATCH(A34,tblCoupleReview[Transaction ID],0))=0,DATE(YEAR(B34),MONTH(B34),1),INDEX(tblCoupleReview[Applies To Month],MATCH(A34,tblCoupleReview[Transaction ID],0))),DATE(YEAR(B34),MONTH(B34),1))</f>
        <v/>
      </c>
      <c r="O34" s="53">
        <f>IFERROR(INDEX(tblCoupleReview[Status],MATCH(A34,tblCoupleReview[Transaction ID],0)),"Unreviewed")</f>
        <v/>
      </c>
      <c r="P34" s="53">
        <f>IFERROR(INDEX(tblCoupleReview[Notes],MATCH(A34,tblCoupleReview[Transaction ID],0)),"")</f>
        <v/>
      </c>
    </row>
    <row r="35">
      <c r="A35" t="inlineStr">
        <is>
          <t>OCT-005</t>
        </is>
      </c>
      <c r="B35" s="51" t="n">
        <v>46297</v>
      </c>
      <c r="C35" t="inlineStr">
        <is>
          <t>RBC-P2-CHQ</t>
        </is>
      </c>
      <c r="D35" t="inlineStr">
        <is>
          <t>Transfer to Joint</t>
        </is>
      </c>
      <c r="E35" s="52" t="n">
        <v>-2200</v>
      </c>
      <c r="F35" t="inlineStr">
        <is>
          <t>Internal Transfer</t>
        </is>
      </c>
      <c r="G35" t="inlineStr">
        <is>
          <t>Transfer</t>
        </is>
      </c>
      <c r="H35" s="53">
        <f>IFERROR(INDEX(tblAccounts[Institution],MATCH(C35,tblAccounts[Account ID],0)),"")</f>
        <v/>
      </c>
      <c r="I35" s="53">
        <f>IFERROR(INDEX(tblAccounts[Owner],MATCH(C35,tblAccounts[Account ID],0)),"")</f>
        <v/>
      </c>
      <c r="J35" s="53">
        <f>IFERROR(IF(INDEX(tblCoupleReview[Type Override],MATCH(A35,tblCoupleReview[Transaction ID],0))="",F35,INDEX(tblCoupleReview[Type Override],MATCH(A35,tblCoupleReview[Transaction ID],0))),F35)</f>
        <v/>
      </c>
      <c r="K35" s="53">
        <f>IFERROR(IF(INDEX(tblCoupleReview[Category Override],MATCH(A35,tblCoupleReview[Transaction ID],0))="",G35,INDEX(tblCoupleReview[Category Override],MATCH(A35,tblCoupleReview[Transaction ID],0))),G35)</f>
        <v/>
      </c>
      <c r="L35" s="53">
        <f>IFERROR(INDEX(tblCoupleReview[Budget For],MATCH(A35,tblCoupleReview[Transaction ID],0)),"Household")</f>
        <v/>
      </c>
      <c r="M35" s="53">
        <f>IFERROR(INDEX(tblCoupleReview[Related Transaction],MATCH(A35,tblCoupleReview[Transaction ID],0)),"")</f>
        <v/>
      </c>
      <c r="N35" s="54">
        <f>IFERROR(IF(INDEX(tblCoupleReview[Applies To Month],MATCH(A35,tblCoupleReview[Transaction ID],0))=0,DATE(YEAR(B35),MONTH(B35),1),INDEX(tblCoupleReview[Applies To Month],MATCH(A35,tblCoupleReview[Transaction ID],0))),DATE(YEAR(B35),MONTH(B35),1))</f>
        <v/>
      </c>
      <c r="O35" s="53">
        <f>IFERROR(INDEX(tblCoupleReview[Status],MATCH(A35,tblCoupleReview[Transaction ID],0)),"Unreviewed")</f>
        <v/>
      </c>
      <c r="P35" s="53">
        <f>IFERROR(INDEX(tblCoupleReview[Notes],MATCH(A35,tblCoupleReview[Transaction ID],0)),"")</f>
        <v/>
      </c>
    </row>
    <row r="36">
      <c r="A36" t="inlineStr">
        <is>
          <t>OCT-006</t>
        </is>
      </c>
      <c r="B36" s="51" t="n">
        <v>46297</v>
      </c>
      <c r="C36" t="inlineStr">
        <is>
          <t>CIBC-JOINT-CHQ</t>
        </is>
      </c>
      <c r="D36" t="inlineStr">
        <is>
          <t>Transfer from Partner 2</t>
        </is>
      </c>
      <c r="E36" s="52" t="n">
        <v>2200</v>
      </c>
      <c r="F36" t="inlineStr">
        <is>
          <t>Internal Transfer</t>
        </is>
      </c>
      <c r="G36" t="inlineStr">
        <is>
          <t>Transfer</t>
        </is>
      </c>
      <c r="H36" s="53">
        <f>IFERROR(INDEX(tblAccounts[Institution],MATCH(C36,tblAccounts[Account ID],0)),"")</f>
        <v/>
      </c>
      <c r="I36" s="53">
        <f>IFERROR(INDEX(tblAccounts[Owner],MATCH(C36,tblAccounts[Account ID],0)),"")</f>
        <v/>
      </c>
      <c r="J36" s="53">
        <f>IFERROR(IF(INDEX(tblCoupleReview[Type Override],MATCH(A36,tblCoupleReview[Transaction ID],0))="",F36,INDEX(tblCoupleReview[Type Override],MATCH(A36,tblCoupleReview[Transaction ID],0))),F36)</f>
        <v/>
      </c>
      <c r="K36" s="53">
        <f>IFERROR(IF(INDEX(tblCoupleReview[Category Override],MATCH(A36,tblCoupleReview[Transaction ID],0))="",G36,INDEX(tblCoupleReview[Category Override],MATCH(A36,tblCoupleReview[Transaction ID],0))),G36)</f>
        <v/>
      </c>
      <c r="L36" s="53">
        <f>IFERROR(INDEX(tblCoupleReview[Budget For],MATCH(A36,tblCoupleReview[Transaction ID],0)),"Household")</f>
        <v/>
      </c>
      <c r="M36" s="53">
        <f>IFERROR(INDEX(tblCoupleReview[Related Transaction],MATCH(A36,tblCoupleReview[Transaction ID],0)),"")</f>
        <v/>
      </c>
      <c r="N36" s="54">
        <f>IFERROR(IF(INDEX(tblCoupleReview[Applies To Month],MATCH(A36,tblCoupleReview[Transaction ID],0))=0,DATE(YEAR(B36),MONTH(B36),1),INDEX(tblCoupleReview[Applies To Month],MATCH(A36,tblCoupleReview[Transaction ID],0))),DATE(YEAR(B36),MONTH(B36),1))</f>
        <v/>
      </c>
      <c r="O36" s="53">
        <f>IFERROR(INDEX(tblCoupleReview[Status],MATCH(A36,tblCoupleReview[Transaction ID],0)),"Unreviewed")</f>
        <v/>
      </c>
      <c r="P36" s="53">
        <f>IFERROR(INDEX(tblCoupleReview[Notes],MATCH(A36,tblCoupleReview[Transaction ID],0)),"")</f>
        <v/>
      </c>
    </row>
    <row r="37">
      <c r="A37" t="inlineStr">
        <is>
          <t>OCT-007</t>
        </is>
      </c>
      <c r="B37" s="51" t="n">
        <v>46298</v>
      </c>
      <c r="C37" t="inlineStr">
        <is>
          <t>CIBC-JOINT-CHQ</t>
        </is>
      </c>
      <c r="D37" t="inlineStr">
        <is>
          <t>Rent Payment</t>
        </is>
      </c>
      <c r="E37" s="52" t="n">
        <v>-2200</v>
      </c>
      <c r="F37" t="inlineStr">
        <is>
          <t>Expense</t>
        </is>
      </c>
      <c r="G37" t="inlineStr">
        <is>
          <t>Rent</t>
        </is>
      </c>
      <c r="H37" s="53">
        <f>IFERROR(INDEX(tblAccounts[Institution],MATCH(C37,tblAccounts[Account ID],0)),"")</f>
        <v/>
      </c>
      <c r="I37" s="53">
        <f>IFERROR(INDEX(tblAccounts[Owner],MATCH(C37,tblAccounts[Account ID],0)),"")</f>
        <v/>
      </c>
      <c r="J37" s="53">
        <f>IFERROR(IF(INDEX(tblCoupleReview[Type Override],MATCH(A37,tblCoupleReview[Transaction ID],0))="",F37,INDEX(tblCoupleReview[Type Override],MATCH(A37,tblCoupleReview[Transaction ID],0))),F37)</f>
        <v/>
      </c>
      <c r="K37" s="53">
        <f>IFERROR(IF(INDEX(tblCoupleReview[Category Override],MATCH(A37,tblCoupleReview[Transaction ID],0))="",G37,INDEX(tblCoupleReview[Category Override],MATCH(A37,tblCoupleReview[Transaction ID],0))),G37)</f>
        <v/>
      </c>
      <c r="L37" s="53">
        <f>IFERROR(INDEX(tblCoupleReview[Budget For],MATCH(A37,tblCoupleReview[Transaction ID],0)),"Household")</f>
        <v/>
      </c>
      <c r="M37" s="53">
        <f>IFERROR(INDEX(tblCoupleReview[Related Transaction],MATCH(A37,tblCoupleReview[Transaction ID],0)),"")</f>
        <v/>
      </c>
      <c r="N37" s="54">
        <f>IFERROR(IF(INDEX(tblCoupleReview[Applies To Month],MATCH(A37,tblCoupleReview[Transaction ID],0))=0,DATE(YEAR(B37),MONTH(B37),1),INDEX(tblCoupleReview[Applies To Month],MATCH(A37,tblCoupleReview[Transaction ID],0))),DATE(YEAR(B37),MONTH(B37),1))</f>
        <v/>
      </c>
      <c r="O37" s="53">
        <f>IFERROR(INDEX(tblCoupleReview[Status],MATCH(A37,tblCoupleReview[Transaction ID],0)),"Unreviewed")</f>
        <v/>
      </c>
      <c r="P37" s="53">
        <f>IFERROR(INDEX(tblCoupleReview[Notes],MATCH(A37,tblCoupleReview[Transaction ID],0)),"")</f>
        <v/>
      </c>
    </row>
    <row r="38">
      <c r="A38" t="inlineStr">
        <is>
          <t>OCT-008</t>
        </is>
      </c>
      <c r="B38" s="51" t="n">
        <v>46300</v>
      </c>
      <c r="C38" t="inlineStr">
        <is>
          <t>CIBC-JOINT-CHQ</t>
        </is>
      </c>
      <c r="D38" t="inlineStr">
        <is>
          <t>Utilities</t>
        </is>
      </c>
      <c r="E38" s="52" t="n">
        <v>-180</v>
      </c>
      <c r="F38" t="inlineStr">
        <is>
          <t>Expense</t>
        </is>
      </c>
      <c r="G38" t="inlineStr">
        <is>
          <t>Utilities</t>
        </is>
      </c>
      <c r="H38" s="53">
        <f>IFERROR(INDEX(tblAccounts[Institution],MATCH(C38,tblAccounts[Account ID],0)),"")</f>
        <v/>
      </c>
      <c r="I38" s="53">
        <f>IFERROR(INDEX(tblAccounts[Owner],MATCH(C38,tblAccounts[Account ID],0)),"")</f>
        <v/>
      </c>
      <c r="J38" s="53">
        <f>IFERROR(IF(INDEX(tblCoupleReview[Type Override],MATCH(A38,tblCoupleReview[Transaction ID],0))="",F38,INDEX(tblCoupleReview[Type Override],MATCH(A38,tblCoupleReview[Transaction ID],0))),F38)</f>
        <v/>
      </c>
      <c r="K38" s="53">
        <f>IFERROR(IF(INDEX(tblCoupleReview[Category Override],MATCH(A38,tblCoupleReview[Transaction ID],0))="",G38,INDEX(tblCoupleReview[Category Override],MATCH(A38,tblCoupleReview[Transaction ID],0))),G38)</f>
        <v/>
      </c>
      <c r="L38" s="53">
        <f>IFERROR(INDEX(tblCoupleReview[Budget For],MATCH(A38,tblCoupleReview[Transaction ID],0)),"Household")</f>
        <v/>
      </c>
      <c r="M38" s="53">
        <f>IFERROR(INDEX(tblCoupleReview[Related Transaction],MATCH(A38,tblCoupleReview[Transaction ID],0)),"")</f>
        <v/>
      </c>
      <c r="N38" s="54">
        <f>IFERROR(IF(INDEX(tblCoupleReview[Applies To Month],MATCH(A38,tblCoupleReview[Transaction ID],0))=0,DATE(YEAR(B38),MONTH(B38),1),INDEX(tblCoupleReview[Applies To Month],MATCH(A38,tblCoupleReview[Transaction ID],0))),DATE(YEAR(B38),MONTH(B38),1))</f>
        <v/>
      </c>
      <c r="O38" s="53">
        <f>IFERROR(INDEX(tblCoupleReview[Status],MATCH(A38,tblCoupleReview[Transaction ID],0)),"Unreviewed")</f>
        <v/>
      </c>
      <c r="P38" s="53">
        <f>IFERROR(INDEX(tblCoupleReview[Notes],MATCH(A38,tblCoupleReview[Transaction ID],0)),"")</f>
        <v/>
      </c>
    </row>
    <row r="39">
      <c r="A39" t="inlineStr">
        <is>
          <t>OCT-009</t>
        </is>
      </c>
      <c r="B39" s="51" t="n">
        <v>46301</v>
      </c>
      <c r="C39" t="inlineStr">
        <is>
          <t>CIBC-JOINT-CHQ</t>
        </is>
      </c>
      <c r="D39" t="inlineStr">
        <is>
          <t>Transfer to Goal Savings</t>
        </is>
      </c>
      <c r="E39" s="52" t="n">
        <v>-500</v>
      </c>
      <c r="F39" t="inlineStr">
        <is>
          <t>Internal Transfer</t>
        </is>
      </c>
      <c r="G39" t="inlineStr">
        <is>
          <t>Transfer</t>
        </is>
      </c>
      <c r="H39" s="53">
        <f>IFERROR(INDEX(tblAccounts[Institution],MATCH(C39,tblAccounts[Account ID],0)),"")</f>
        <v/>
      </c>
      <c r="I39" s="53">
        <f>IFERROR(INDEX(tblAccounts[Owner],MATCH(C39,tblAccounts[Account ID],0)),"")</f>
        <v/>
      </c>
      <c r="J39" s="53">
        <f>IFERROR(IF(INDEX(tblCoupleReview[Type Override],MATCH(A39,tblCoupleReview[Transaction ID],0))="",F39,INDEX(tblCoupleReview[Type Override],MATCH(A39,tblCoupleReview[Transaction ID],0))),F39)</f>
        <v/>
      </c>
      <c r="K39" s="53">
        <f>IFERROR(IF(INDEX(tblCoupleReview[Category Override],MATCH(A39,tblCoupleReview[Transaction ID],0))="",G39,INDEX(tblCoupleReview[Category Override],MATCH(A39,tblCoupleReview[Transaction ID],0))),G39)</f>
        <v/>
      </c>
      <c r="L39" s="53">
        <f>IFERROR(INDEX(tblCoupleReview[Budget For],MATCH(A39,tblCoupleReview[Transaction ID],0)),"Household")</f>
        <v/>
      </c>
      <c r="M39" s="53">
        <f>IFERROR(INDEX(tblCoupleReview[Related Transaction],MATCH(A39,tblCoupleReview[Transaction ID],0)),"")</f>
        <v/>
      </c>
      <c r="N39" s="54">
        <f>IFERROR(IF(INDEX(tblCoupleReview[Applies To Month],MATCH(A39,tblCoupleReview[Transaction ID],0))=0,DATE(YEAR(B39),MONTH(B39),1),INDEX(tblCoupleReview[Applies To Month],MATCH(A39,tblCoupleReview[Transaction ID],0))),DATE(YEAR(B39),MONTH(B39),1))</f>
        <v/>
      </c>
      <c r="O39" s="53">
        <f>IFERROR(INDEX(tblCoupleReview[Status],MATCH(A39,tblCoupleReview[Transaction ID],0)),"Unreviewed")</f>
        <v/>
      </c>
      <c r="P39" s="53">
        <f>IFERROR(INDEX(tblCoupleReview[Notes],MATCH(A39,tblCoupleReview[Transaction ID],0)),"")</f>
        <v/>
      </c>
    </row>
    <row r="40">
      <c r="A40" t="inlineStr">
        <is>
          <t>OCT-010</t>
        </is>
      </c>
      <c r="B40" s="51" t="n">
        <v>46301</v>
      </c>
      <c r="C40" t="inlineStr">
        <is>
          <t>RBC-JOINT-SAV</t>
        </is>
      </c>
      <c r="D40" t="inlineStr">
        <is>
          <t>Transfer from Joint Chequing</t>
        </is>
      </c>
      <c r="E40" s="52" t="n">
        <v>500</v>
      </c>
      <c r="F40" t="inlineStr">
        <is>
          <t>Internal Transfer</t>
        </is>
      </c>
      <c r="G40" t="inlineStr">
        <is>
          <t>Transfer</t>
        </is>
      </c>
      <c r="H40" s="53">
        <f>IFERROR(INDEX(tblAccounts[Institution],MATCH(C40,tblAccounts[Account ID],0)),"")</f>
        <v/>
      </c>
      <c r="I40" s="53">
        <f>IFERROR(INDEX(tblAccounts[Owner],MATCH(C40,tblAccounts[Account ID],0)),"")</f>
        <v/>
      </c>
      <c r="J40" s="53">
        <f>IFERROR(IF(INDEX(tblCoupleReview[Type Override],MATCH(A40,tblCoupleReview[Transaction ID],0))="",F40,INDEX(tblCoupleReview[Type Override],MATCH(A40,tblCoupleReview[Transaction ID],0))),F40)</f>
        <v/>
      </c>
      <c r="K40" s="53">
        <f>IFERROR(IF(INDEX(tblCoupleReview[Category Override],MATCH(A40,tblCoupleReview[Transaction ID],0))="",G40,INDEX(tblCoupleReview[Category Override],MATCH(A40,tblCoupleReview[Transaction ID],0))),G40)</f>
        <v/>
      </c>
      <c r="L40" s="53">
        <f>IFERROR(INDEX(tblCoupleReview[Budget For],MATCH(A40,tblCoupleReview[Transaction ID],0)),"Household")</f>
        <v/>
      </c>
      <c r="M40" s="53">
        <f>IFERROR(INDEX(tblCoupleReview[Related Transaction],MATCH(A40,tblCoupleReview[Transaction ID],0)),"")</f>
        <v/>
      </c>
      <c r="N40" s="54">
        <f>IFERROR(IF(INDEX(tblCoupleReview[Applies To Month],MATCH(A40,tblCoupleReview[Transaction ID],0))=0,DATE(YEAR(B40),MONTH(B40),1),INDEX(tblCoupleReview[Applies To Month],MATCH(A40,tblCoupleReview[Transaction ID],0))),DATE(YEAR(B40),MONTH(B40),1))</f>
        <v/>
      </c>
      <c r="O40" s="53">
        <f>IFERROR(INDEX(tblCoupleReview[Status],MATCH(A40,tblCoupleReview[Transaction ID],0)),"Unreviewed")</f>
        <v/>
      </c>
      <c r="P40" s="53">
        <f>IFERROR(INDEX(tblCoupleReview[Notes],MATCH(A40,tblCoupleReview[Transaction ID],0)),"")</f>
        <v/>
      </c>
    </row>
    <row r="41">
      <c r="A41" t="inlineStr">
        <is>
          <t>OCT-011</t>
        </is>
      </c>
      <c r="B41" s="51" t="n">
        <v>46302</v>
      </c>
      <c r="C41" t="inlineStr">
        <is>
          <t>CIBC-P1-CHQ</t>
        </is>
      </c>
      <c r="D41" t="inlineStr">
        <is>
          <t>TFSA Contribution</t>
        </is>
      </c>
      <c r="E41" s="52" t="n">
        <v>-500</v>
      </c>
      <c r="F41" t="inlineStr">
        <is>
          <t>Internal Transfer</t>
        </is>
      </c>
      <c r="G41" t="inlineStr">
        <is>
          <t>Transfer</t>
        </is>
      </c>
      <c r="H41" s="53">
        <f>IFERROR(INDEX(tblAccounts[Institution],MATCH(C41,tblAccounts[Account ID],0)),"")</f>
        <v/>
      </c>
      <c r="I41" s="53">
        <f>IFERROR(INDEX(tblAccounts[Owner],MATCH(C41,tblAccounts[Account ID],0)),"")</f>
        <v/>
      </c>
      <c r="J41" s="53">
        <f>IFERROR(IF(INDEX(tblCoupleReview[Type Override],MATCH(A41,tblCoupleReview[Transaction ID],0))="",F41,INDEX(tblCoupleReview[Type Override],MATCH(A41,tblCoupleReview[Transaction ID],0))),F41)</f>
        <v/>
      </c>
      <c r="K41" s="53">
        <f>IFERROR(IF(INDEX(tblCoupleReview[Category Override],MATCH(A41,tblCoupleReview[Transaction ID],0))="",G41,INDEX(tblCoupleReview[Category Override],MATCH(A41,tblCoupleReview[Transaction ID],0))),G41)</f>
        <v/>
      </c>
      <c r="L41" s="53">
        <f>IFERROR(INDEX(tblCoupleReview[Budget For],MATCH(A41,tblCoupleReview[Transaction ID],0)),"Household")</f>
        <v/>
      </c>
      <c r="M41" s="53">
        <f>IFERROR(INDEX(tblCoupleReview[Related Transaction],MATCH(A41,tblCoupleReview[Transaction ID],0)),"")</f>
        <v/>
      </c>
      <c r="N41" s="54">
        <f>IFERROR(IF(INDEX(tblCoupleReview[Applies To Month],MATCH(A41,tblCoupleReview[Transaction ID],0))=0,DATE(YEAR(B41),MONTH(B41),1),INDEX(tblCoupleReview[Applies To Month],MATCH(A41,tblCoupleReview[Transaction ID],0))),DATE(YEAR(B41),MONTH(B41),1))</f>
        <v/>
      </c>
      <c r="O41" s="53">
        <f>IFERROR(INDEX(tblCoupleReview[Status],MATCH(A41,tblCoupleReview[Transaction ID],0)),"Unreviewed")</f>
        <v/>
      </c>
      <c r="P41" s="53">
        <f>IFERROR(INDEX(tblCoupleReview[Notes],MATCH(A41,tblCoupleReview[Transaction ID],0)),"")</f>
        <v/>
      </c>
    </row>
    <row r="42">
      <c r="A42" t="inlineStr">
        <is>
          <t>OCT-012</t>
        </is>
      </c>
      <c r="B42" s="51" t="n">
        <v>46302</v>
      </c>
      <c r="C42" t="inlineStr">
        <is>
          <t>RBC-P2-CHQ</t>
        </is>
      </c>
      <c r="D42" t="inlineStr">
        <is>
          <t>TFSA Contribution</t>
        </is>
      </c>
      <c r="E42" s="52" t="n">
        <v>-500</v>
      </c>
      <c r="F42" t="inlineStr">
        <is>
          <t>Internal Transfer</t>
        </is>
      </c>
      <c r="G42" t="inlineStr">
        <is>
          <t>Transfer</t>
        </is>
      </c>
      <c r="H42" s="53">
        <f>IFERROR(INDEX(tblAccounts[Institution],MATCH(C42,tblAccounts[Account ID],0)),"")</f>
        <v/>
      </c>
      <c r="I42" s="53">
        <f>IFERROR(INDEX(tblAccounts[Owner],MATCH(C42,tblAccounts[Account ID],0)),"")</f>
        <v/>
      </c>
      <c r="J42" s="53">
        <f>IFERROR(IF(INDEX(tblCoupleReview[Type Override],MATCH(A42,tblCoupleReview[Transaction ID],0))="",F42,INDEX(tblCoupleReview[Type Override],MATCH(A42,tblCoupleReview[Transaction ID],0))),F42)</f>
        <v/>
      </c>
      <c r="K42" s="53">
        <f>IFERROR(IF(INDEX(tblCoupleReview[Category Override],MATCH(A42,tblCoupleReview[Transaction ID],0))="",G42,INDEX(tblCoupleReview[Category Override],MATCH(A42,tblCoupleReview[Transaction ID],0))),G42)</f>
        <v/>
      </c>
      <c r="L42" s="53">
        <f>IFERROR(INDEX(tblCoupleReview[Budget For],MATCH(A42,tblCoupleReview[Transaction ID],0)),"Household")</f>
        <v/>
      </c>
      <c r="M42" s="53">
        <f>IFERROR(INDEX(tblCoupleReview[Related Transaction],MATCH(A42,tblCoupleReview[Transaction ID],0)),"")</f>
        <v/>
      </c>
      <c r="N42" s="54">
        <f>IFERROR(IF(INDEX(tblCoupleReview[Applies To Month],MATCH(A42,tblCoupleReview[Transaction ID],0))=0,DATE(YEAR(B42),MONTH(B42),1),INDEX(tblCoupleReview[Applies To Month],MATCH(A42,tblCoupleReview[Transaction ID],0))),DATE(YEAR(B42),MONTH(B42),1))</f>
        <v/>
      </c>
      <c r="O42" s="53">
        <f>IFERROR(INDEX(tblCoupleReview[Status],MATCH(A42,tblCoupleReview[Transaction ID],0)),"Unreviewed")</f>
        <v/>
      </c>
      <c r="P42" s="53">
        <f>IFERROR(INDEX(tblCoupleReview[Notes],MATCH(A42,tblCoupleReview[Transaction ID],0)),"")</f>
        <v/>
      </c>
    </row>
    <row r="43">
      <c r="A43" t="inlineStr">
        <is>
          <t>OCT-013</t>
        </is>
      </c>
      <c r="B43" s="51" t="n">
        <v>46303</v>
      </c>
      <c r="C43" t="inlineStr">
        <is>
          <t>CIBC-P1-VISA</t>
        </is>
      </c>
      <c r="D43" t="inlineStr">
        <is>
          <t>Grocery Store</t>
        </is>
      </c>
      <c r="E43" s="52" t="n">
        <v>-250</v>
      </c>
      <c r="F43" t="inlineStr">
        <is>
          <t>Expense</t>
        </is>
      </c>
      <c r="G43" t="inlineStr">
        <is>
          <t>Groceries</t>
        </is>
      </c>
      <c r="H43" s="53">
        <f>IFERROR(INDEX(tblAccounts[Institution],MATCH(C43,tblAccounts[Account ID],0)),"")</f>
        <v/>
      </c>
      <c r="I43" s="53">
        <f>IFERROR(INDEX(tblAccounts[Owner],MATCH(C43,tblAccounts[Account ID],0)),"")</f>
        <v/>
      </c>
      <c r="J43" s="53">
        <f>IFERROR(IF(INDEX(tblCoupleReview[Type Override],MATCH(A43,tblCoupleReview[Transaction ID],0))="",F43,INDEX(tblCoupleReview[Type Override],MATCH(A43,tblCoupleReview[Transaction ID],0))),F43)</f>
        <v/>
      </c>
      <c r="K43" s="53">
        <f>IFERROR(IF(INDEX(tblCoupleReview[Category Override],MATCH(A43,tblCoupleReview[Transaction ID],0))="",G43,INDEX(tblCoupleReview[Category Override],MATCH(A43,tblCoupleReview[Transaction ID],0))),G43)</f>
        <v/>
      </c>
      <c r="L43" s="53">
        <f>IFERROR(INDEX(tblCoupleReview[Budget For],MATCH(A43,tblCoupleReview[Transaction ID],0)),"Household")</f>
        <v/>
      </c>
      <c r="M43" s="53">
        <f>IFERROR(INDEX(tblCoupleReview[Related Transaction],MATCH(A43,tblCoupleReview[Transaction ID],0)),"")</f>
        <v/>
      </c>
      <c r="N43" s="54">
        <f>IFERROR(IF(INDEX(tblCoupleReview[Applies To Month],MATCH(A43,tblCoupleReview[Transaction ID],0))=0,DATE(YEAR(B43),MONTH(B43),1),INDEX(tblCoupleReview[Applies To Month],MATCH(A43,tblCoupleReview[Transaction ID],0))),DATE(YEAR(B43),MONTH(B43),1))</f>
        <v/>
      </c>
      <c r="O43" s="53">
        <f>IFERROR(INDEX(tblCoupleReview[Status],MATCH(A43,tblCoupleReview[Transaction ID],0)),"Unreviewed")</f>
        <v/>
      </c>
      <c r="P43" s="53">
        <f>IFERROR(INDEX(tblCoupleReview[Notes],MATCH(A43,tblCoupleReview[Transaction ID],0)),"")</f>
        <v/>
      </c>
    </row>
    <row r="44">
      <c r="A44" t="inlineStr">
        <is>
          <t>OCT-014</t>
        </is>
      </c>
      <c r="B44" s="51" t="n">
        <v>46303</v>
      </c>
      <c r="C44" t="inlineStr">
        <is>
          <t>RBC-P2-VISA</t>
        </is>
      </c>
      <c r="D44" t="inlineStr">
        <is>
          <t>Grocery Store</t>
        </is>
      </c>
      <c r="E44" s="52" t="n">
        <v>-180</v>
      </c>
      <c r="F44" t="inlineStr">
        <is>
          <t>Expense</t>
        </is>
      </c>
      <c r="G44" t="inlineStr">
        <is>
          <t>Groceries</t>
        </is>
      </c>
      <c r="H44" s="53">
        <f>IFERROR(INDEX(tblAccounts[Institution],MATCH(C44,tblAccounts[Account ID],0)),"")</f>
        <v/>
      </c>
      <c r="I44" s="53">
        <f>IFERROR(INDEX(tblAccounts[Owner],MATCH(C44,tblAccounts[Account ID],0)),"")</f>
        <v/>
      </c>
      <c r="J44" s="53">
        <f>IFERROR(IF(INDEX(tblCoupleReview[Type Override],MATCH(A44,tblCoupleReview[Transaction ID],0))="",F44,INDEX(tblCoupleReview[Type Override],MATCH(A44,tblCoupleReview[Transaction ID],0))),F44)</f>
        <v/>
      </c>
      <c r="K44" s="53">
        <f>IFERROR(IF(INDEX(tblCoupleReview[Category Override],MATCH(A44,tblCoupleReview[Transaction ID],0))="",G44,INDEX(tblCoupleReview[Category Override],MATCH(A44,tblCoupleReview[Transaction ID],0))),G44)</f>
        <v/>
      </c>
      <c r="L44" s="53">
        <f>IFERROR(INDEX(tblCoupleReview[Budget For],MATCH(A44,tblCoupleReview[Transaction ID],0)),"Household")</f>
        <v/>
      </c>
      <c r="M44" s="53">
        <f>IFERROR(INDEX(tblCoupleReview[Related Transaction],MATCH(A44,tblCoupleReview[Transaction ID],0)),"")</f>
        <v/>
      </c>
      <c r="N44" s="54">
        <f>IFERROR(IF(INDEX(tblCoupleReview[Applies To Month],MATCH(A44,tblCoupleReview[Transaction ID],0))=0,DATE(YEAR(B44),MONTH(B44),1),INDEX(tblCoupleReview[Applies To Month],MATCH(A44,tblCoupleReview[Transaction ID],0))),DATE(YEAR(B44),MONTH(B44),1))</f>
        <v/>
      </c>
      <c r="O44" s="53">
        <f>IFERROR(INDEX(tblCoupleReview[Status],MATCH(A44,tblCoupleReview[Transaction ID],0)),"Unreviewed")</f>
        <v/>
      </c>
      <c r="P44" s="53">
        <f>IFERROR(INDEX(tblCoupleReview[Notes],MATCH(A44,tblCoupleReview[Transaction ID],0)),"")</f>
        <v/>
      </c>
    </row>
    <row r="45">
      <c r="A45" t="inlineStr">
        <is>
          <t>OCT-015</t>
        </is>
      </c>
      <c r="B45" s="51" t="n">
        <v>46304</v>
      </c>
      <c r="C45" t="inlineStr">
        <is>
          <t>CIBC-P1-VISA</t>
        </is>
      </c>
      <c r="D45" t="inlineStr">
        <is>
          <t>Dinner with Friends</t>
        </is>
      </c>
      <c r="E45" s="52" t="n">
        <v>-200</v>
      </c>
      <c r="F45" t="inlineStr">
        <is>
          <t>Expense</t>
        </is>
      </c>
      <c r="G45" t="inlineStr">
        <is>
          <t>Restaurants</t>
        </is>
      </c>
      <c r="H45" s="53">
        <f>IFERROR(INDEX(tblAccounts[Institution],MATCH(C45,tblAccounts[Account ID],0)),"")</f>
        <v/>
      </c>
      <c r="I45" s="53">
        <f>IFERROR(INDEX(tblAccounts[Owner],MATCH(C45,tblAccounts[Account ID],0)),"")</f>
        <v/>
      </c>
      <c r="J45" s="53">
        <f>IFERROR(IF(INDEX(tblCoupleReview[Type Override],MATCH(A45,tblCoupleReview[Transaction ID],0))="",F45,INDEX(tblCoupleReview[Type Override],MATCH(A45,tblCoupleReview[Transaction ID],0))),F45)</f>
        <v/>
      </c>
      <c r="K45" s="53">
        <f>IFERROR(IF(INDEX(tblCoupleReview[Category Override],MATCH(A45,tblCoupleReview[Transaction ID],0))="",G45,INDEX(tblCoupleReview[Category Override],MATCH(A45,tblCoupleReview[Transaction ID],0))),G45)</f>
        <v/>
      </c>
      <c r="L45" s="53">
        <f>IFERROR(INDEX(tblCoupleReview[Budget For],MATCH(A45,tblCoupleReview[Transaction ID],0)),"Household")</f>
        <v/>
      </c>
      <c r="M45" s="53">
        <f>IFERROR(INDEX(tblCoupleReview[Related Transaction],MATCH(A45,tblCoupleReview[Transaction ID],0)),"")</f>
        <v/>
      </c>
      <c r="N45" s="54">
        <f>IFERROR(IF(INDEX(tblCoupleReview[Applies To Month],MATCH(A45,tblCoupleReview[Transaction ID],0))=0,DATE(YEAR(B45),MONTH(B45),1),INDEX(tblCoupleReview[Applies To Month],MATCH(A45,tblCoupleReview[Transaction ID],0))),DATE(YEAR(B45),MONTH(B45),1))</f>
        <v/>
      </c>
      <c r="O45" s="53">
        <f>IFERROR(INDEX(tblCoupleReview[Status],MATCH(A45,tblCoupleReview[Transaction ID],0)),"Unreviewed")</f>
        <v/>
      </c>
      <c r="P45" s="53">
        <f>IFERROR(INDEX(tblCoupleReview[Notes],MATCH(A45,tblCoupleReview[Transaction ID],0)),"")</f>
        <v/>
      </c>
    </row>
    <row r="46">
      <c r="A46" t="inlineStr">
        <is>
          <t>OCT-016</t>
        </is>
      </c>
      <c r="B46" s="51" t="n">
        <v>46305</v>
      </c>
      <c r="C46" t="inlineStr">
        <is>
          <t>CIBC-P1-CHQ</t>
        </is>
      </c>
      <c r="D46" t="inlineStr">
        <is>
          <t>E-transfer from Friend</t>
        </is>
      </c>
      <c r="E46" s="52" t="n">
        <v>100</v>
      </c>
      <c r="F46" t="inlineStr">
        <is>
          <t>Income</t>
        </is>
      </c>
      <c r="G46" t="inlineStr">
        <is>
          <t>Bank</t>
        </is>
      </c>
      <c r="H46" s="53">
        <f>IFERROR(INDEX(tblAccounts[Institution],MATCH(C46,tblAccounts[Account ID],0)),"")</f>
        <v/>
      </c>
      <c r="I46" s="53">
        <f>IFERROR(INDEX(tblAccounts[Owner],MATCH(C46,tblAccounts[Account ID],0)),"")</f>
        <v/>
      </c>
      <c r="J46" s="53">
        <f>IFERROR(IF(INDEX(tblCoupleReview[Type Override],MATCH(A46,tblCoupleReview[Transaction ID],0))="",F46,INDEX(tblCoupleReview[Type Override],MATCH(A46,tblCoupleReview[Transaction ID],0))),F46)</f>
        <v/>
      </c>
      <c r="K46" s="53">
        <f>IFERROR(IF(INDEX(tblCoupleReview[Category Override],MATCH(A46,tblCoupleReview[Transaction ID],0))="",G46,INDEX(tblCoupleReview[Category Override],MATCH(A46,tblCoupleReview[Transaction ID],0))),G46)</f>
        <v/>
      </c>
      <c r="L46" s="53">
        <f>IFERROR(INDEX(tblCoupleReview[Budget For],MATCH(A46,tblCoupleReview[Transaction ID],0)),"Household")</f>
        <v/>
      </c>
      <c r="M46" s="53">
        <f>IFERROR(INDEX(tblCoupleReview[Related Transaction],MATCH(A46,tblCoupleReview[Transaction ID],0)),"")</f>
        <v/>
      </c>
      <c r="N46" s="54">
        <f>IFERROR(IF(INDEX(tblCoupleReview[Applies To Month],MATCH(A46,tblCoupleReview[Transaction ID],0))=0,DATE(YEAR(B46),MONTH(B46),1),INDEX(tblCoupleReview[Applies To Month],MATCH(A46,tblCoupleReview[Transaction ID],0))),DATE(YEAR(B46),MONTH(B46),1))</f>
        <v/>
      </c>
      <c r="O46" s="53">
        <f>IFERROR(INDEX(tblCoupleReview[Status],MATCH(A46,tblCoupleReview[Transaction ID],0)),"Unreviewed")</f>
        <v/>
      </c>
      <c r="P46" s="53">
        <f>IFERROR(INDEX(tblCoupleReview[Notes],MATCH(A46,tblCoupleReview[Transaction ID],0)),"")</f>
        <v/>
      </c>
    </row>
    <row r="47">
      <c r="A47" t="inlineStr">
        <is>
          <t>OCT-017</t>
        </is>
      </c>
      <c r="B47" s="51" t="n">
        <v>46305</v>
      </c>
      <c r="C47" t="inlineStr">
        <is>
          <t>CIBC-P1-VISA</t>
        </is>
      </c>
      <c r="D47" t="inlineStr">
        <is>
          <t>Transit and Fuel</t>
        </is>
      </c>
      <c r="E47" s="52" t="n">
        <v>-80</v>
      </c>
      <c r="F47" t="inlineStr">
        <is>
          <t>Expense</t>
        </is>
      </c>
      <c r="G47" t="inlineStr">
        <is>
          <t>Transportation</t>
        </is>
      </c>
      <c r="H47" s="53">
        <f>IFERROR(INDEX(tblAccounts[Institution],MATCH(C47,tblAccounts[Account ID],0)),"")</f>
        <v/>
      </c>
      <c r="I47" s="53">
        <f>IFERROR(INDEX(tblAccounts[Owner],MATCH(C47,tblAccounts[Account ID],0)),"")</f>
        <v/>
      </c>
      <c r="J47" s="53">
        <f>IFERROR(IF(INDEX(tblCoupleReview[Type Override],MATCH(A47,tblCoupleReview[Transaction ID],0))="",F47,INDEX(tblCoupleReview[Type Override],MATCH(A47,tblCoupleReview[Transaction ID],0))),F47)</f>
        <v/>
      </c>
      <c r="K47" s="53">
        <f>IFERROR(IF(INDEX(tblCoupleReview[Category Override],MATCH(A47,tblCoupleReview[Transaction ID],0))="",G47,INDEX(tblCoupleReview[Category Override],MATCH(A47,tblCoupleReview[Transaction ID],0))),G47)</f>
        <v/>
      </c>
      <c r="L47" s="53">
        <f>IFERROR(INDEX(tblCoupleReview[Budget For],MATCH(A47,tblCoupleReview[Transaction ID],0)),"Household")</f>
        <v/>
      </c>
      <c r="M47" s="53">
        <f>IFERROR(INDEX(tblCoupleReview[Related Transaction],MATCH(A47,tblCoupleReview[Transaction ID],0)),"")</f>
        <v/>
      </c>
      <c r="N47" s="54">
        <f>IFERROR(IF(INDEX(tblCoupleReview[Applies To Month],MATCH(A47,tblCoupleReview[Transaction ID],0))=0,DATE(YEAR(B47),MONTH(B47),1),INDEX(tblCoupleReview[Applies To Month],MATCH(A47,tblCoupleReview[Transaction ID],0))),DATE(YEAR(B47),MONTH(B47),1))</f>
        <v/>
      </c>
      <c r="O47" s="53">
        <f>IFERROR(INDEX(tblCoupleReview[Status],MATCH(A47,tblCoupleReview[Transaction ID],0)),"Unreviewed")</f>
        <v/>
      </c>
      <c r="P47" s="53">
        <f>IFERROR(INDEX(tblCoupleReview[Notes],MATCH(A47,tblCoupleReview[Transaction ID],0)),"")</f>
        <v/>
      </c>
    </row>
    <row r="48">
      <c r="A48" t="inlineStr">
        <is>
          <t>OCT-018</t>
        </is>
      </c>
      <c r="B48" s="51" t="n">
        <v>46305</v>
      </c>
      <c r="C48" t="inlineStr">
        <is>
          <t>RBC-P2-VISA</t>
        </is>
      </c>
      <c r="D48" t="inlineStr">
        <is>
          <t>Transit and Fuel</t>
        </is>
      </c>
      <c r="E48" s="52" t="n">
        <v>-60</v>
      </c>
      <c r="F48" t="inlineStr">
        <is>
          <t>Expense</t>
        </is>
      </c>
      <c r="G48" t="inlineStr">
        <is>
          <t>Transportation</t>
        </is>
      </c>
      <c r="H48" s="53">
        <f>IFERROR(INDEX(tblAccounts[Institution],MATCH(C48,tblAccounts[Account ID],0)),"")</f>
        <v/>
      </c>
      <c r="I48" s="53">
        <f>IFERROR(INDEX(tblAccounts[Owner],MATCH(C48,tblAccounts[Account ID],0)),"")</f>
        <v/>
      </c>
      <c r="J48" s="53">
        <f>IFERROR(IF(INDEX(tblCoupleReview[Type Override],MATCH(A48,tblCoupleReview[Transaction ID],0))="",F48,INDEX(tblCoupleReview[Type Override],MATCH(A48,tblCoupleReview[Transaction ID],0))),F48)</f>
        <v/>
      </c>
      <c r="K48" s="53">
        <f>IFERROR(IF(INDEX(tblCoupleReview[Category Override],MATCH(A48,tblCoupleReview[Transaction ID],0))="",G48,INDEX(tblCoupleReview[Category Override],MATCH(A48,tblCoupleReview[Transaction ID],0))),G48)</f>
        <v/>
      </c>
      <c r="L48" s="53">
        <f>IFERROR(INDEX(tblCoupleReview[Budget For],MATCH(A48,tblCoupleReview[Transaction ID],0)),"Household")</f>
        <v/>
      </c>
      <c r="M48" s="53">
        <f>IFERROR(INDEX(tblCoupleReview[Related Transaction],MATCH(A48,tblCoupleReview[Transaction ID],0)),"")</f>
        <v/>
      </c>
      <c r="N48" s="54">
        <f>IFERROR(IF(INDEX(tblCoupleReview[Applies To Month],MATCH(A48,tblCoupleReview[Transaction ID],0))=0,DATE(YEAR(B48),MONTH(B48),1),INDEX(tblCoupleReview[Applies To Month],MATCH(A48,tblCoupleReview[Transaction ID],0))),DATE(YEAR(B48),MONTH(B48),1))</f>
        <v/>
      </c>
      <c r="O48" s="53">
        <f>IFERROR(INDEX(tblCoupleReview[Status],MATCH(A48,tblCoupleReview[Transaction ID],0)),"Unreviewed")</f>
        <v/>
      </c>
      <c r="P48" s="53">
        <f>IFERROR(INDEX(tblCoupleReview[Notes],MATCH(A48,tblCoupleReview[Transaction ID],0)),"")</f>
        <v/>
      </c>
    </row>
    <row r="49">
      <c r="A49" t="inlineStr">
        <is>
          <t>OCT-019</t>
        </is>
      </c>
      <c r="B49" s="51" t="n">
        <v>46306</v>
      </c>
      <c r="C49" t="inlineStr">
        <is>
          <t>CIBC-JOINT-CHQ</t>
        </is>
      </c>
      <c r="D49" t="inlineStr">
        <is>
          <t>Streaming Services</t>
        </is>
      </c>
      <c r="E49" s="52" t="n">
        <v>-40</v>
      </c>
      <c r="F49" t="inlineStr">
        <is>
          <t>Expense</t>
        </is>
      </c>
      <c r="G49" t="inlineStr">
        <is>
          <t>Subscriptions</t>
        </is>
      </c>
      <c r="H49" s="53">
        <f>IFERROR(INDEX(tblAccounts[Institution],MATCH(C49,tblAccounts[Account ID],0)),"")</f>
        <v/>
      </c>
      <c r="I49" s="53">
        <f>IFERROR(INDEX(tblAccounts[Owner],MATCH(C49,tblAccounts[Account ID],0)),"")</f>
        <v/>
      </c>
      <c r="J49" s="53">
        <f>IFERROR(IF(INDEX(tblCoupleReview[Type Override],MATCH(A49,tblCoupleReview[Transaction ID],0))="",F49,INDEX(tblCoupleReview[Type Override],MATCH(A49,tblCoupleReview[Transaction ID],0))),F49)</f>
        <v/>
      </c>
      <c r="K49" s="53">
        <f>IFERROR(IF(INDEX(tblCoupleReview[Category Override],MATCH(A49,tblCoupleReview[Transaction ID],0))="",G49,INDEX(tblCoupleReview[Category Override],MATCH(A49,tblCoupleReview[Transaction ID],0))),G49)</f>
        <v/>
      </c>
      <c r="L49" s="53">
        <f>IFERROR(INDEX(tblCoupleReview[Budget For],MATCH(A49,tblCoupleReview[Transaction ID],0)),"Household")</f>
        <v/>
      </c>
      <c r="M49" s="53">
        <f>IFERROR(INDEX(tblCoupleReview[Related Transaction],MATCH(A49,tblCoupleReview[Transaction ID],0)),"")</f>
        <v/>
      </c>
      <c r="N49" s="54">
        <f>IFERROR(IF(INDEX(tblCoupleReview[Applies To Month],MATCH(A49,tblCoupleReview[Transaction ID],0))=0,DATE(YEAR(B49),MONTH(B49),1),INDEX(tblCoupleReview[Applies To Month],MATCH(A49,tblCoupleReview[Transaction ID],0))),DATE(YEAR(B49),MONTH(B49),1))</f>
        <v/>
      </c>
      <c r="O49" s="53">
        <f>IFERROR(INDEX(tblCoupleReview[Status],MATCH(A49,tblCoupleReview[Transaction ID],0)),"Unreviewed")</f>
        <v/>
      </c>
      <c r="P49" s="53">
        <f>IFERROR(INDEX(tblCoupleReview[Notes],MATCH(A49,tblCoupleReview[Transaction ID],0)),"")</f>
        <v/>
      </c>
    </row>
    <row r="50">
      <c r="A50" t="inlineStr">
        <is>
          <t>OCT-020</t>
        </is>
      </c>
      <c r="B50" s="51" t="n">
        <v>46306</v>
      </c>
      <c r="C50" t="inlineStr">
        <is>
          <t>CIBC-JOINT-CHQ</t>
        </is>
      </c>
      <c r="D50" t="inlineStr">
        <is>
          <t>Household Supplies</t>
        </is>
      </c>
      <c r="E50" s="52" t="n">
        <v>-80</v>
      </c>
      <c r="F50" t="inlineStr">
        <is>
          <t>Expense</t>
        </is>
      </c>
      <c r="G50" t="inlineStr">
        <is>
          <t>Household Supplies</t>
        </is>
      </c>
      <c r="H50" s="53">
        <f>IFERROR(INDEX(tblAccounts[Institution],MATCH(C50,tblAccounts[Account ID],0)),"")</f>
        <v/>
      </c>
      <c r="I50" s="53">
        <f>IFERROR(INDEX(tblAccounts[Owner],MATCH(C50,tblAccounts[Account ID],0)),"")</f>
        <v/>
      </c>
      <c r="J50" s="53">
        <f>IFERROR(IF(INDEX(tblCoupleReview[Type Override],MATCH(A50,tblCoupleReview[Transaction ID],0))="",F50,INDEX(tblCoupleReview[Type Override],MATCH(A50,tblCoupleReview[Transaction ID],0))),F50)</f>
        <v/>
      </c>
      <c r="K50" s="53">
        <f>IFERROR(IF(INDEX(tblCoupleReview[Category Override],MATCH(A50,tblCoupleReview[Transaction ID],0))="",G50,INDEX(tblCoupleReview[Category Override],MATCH(A50,tblCoupleReview[Transaction ID],0))),G50)</f>
        <v/>
      </c>
      <c r="L50" s="53">
        <f>IFERROR(INDEX(tblCoupleReview[Budget For],MATCH(A50,tblCoupleReview[Transaction ID],0)),"Household")</f>
        <v/>
      </c>
      <c r="M50" s="53">
        <f>IFERROR(INDEX(tblCoupleReview[Related Transaction],MATCH(A50,tblCoupleReview[Transaction ID],0)),"")</f>
        <v/>
      </c>
      <c r="N50" s="54">
        <f>IFERROR(IF(INDEX(tblCoupleReview[Applies To Month],MATCH(A50,tblCoupleReview[Transaction ID],0))=0,DATE(YEAR(B50),MONTH(B50),1),INDEX(tblCoupleReview[Applies To Month],MATCH(A50,tblCoupleReview[Transaction ID],0))),DATE(YEAR(B50),MONTH(B50),1))</f>
        <v/>
      </c>
      <c r="O50" s="53">
        <f>IFERROR(INDEX(tblCoupleReview[Status],MATCH(A50,tblCoupleReview[Transaction ID],0)),"Unreviewed")</f>
        <v/>
      </c>
      <c r="P50" s="53">
        <f>IFERROR(INDEX(tblCoupleReview[Notes],MATCH(A50,tblCoupleReview[Transaction ID],0)),"")</f>
        <v/>
      </c>
    </row>
    <row r="51">
      <c r="A51" t="inlineStr">
        <is>
          <t>OCT-021</t>
        </is>
      </c>
      <c r="B51" s="51" t="n">
        <v>46307</v>
      </c>
      <c r="C51" t="inlineStr">
        <is>
          <t>CIBC-P1-VISA</t>
        </is>
      </c>
      <c r="D51" t="inlineStr">
        <is>
          <t>Partner 1 Personal</t>
        </is>
      </c>
      <c r="E51" s="52" t="n">
        <v>-120</v>
      </c>
      <c r="F51" t="inlineStr">
        <is>
          <t>Expense</t>
        </is>
      </c>
      <c r="G51" t="inlineStr">
        <is>
          <t>Personal</t>
        </is>
      </c>
      <c r="H51" s="53">
        <f>IFERROR(INDEX(tblAccounts[Institution],MATCH(C51,tblAccounts[Account ID],0)),"")</f>
        <v/>
      </c>
      <c r="I51" s="53">
        <f>IFERROR(INDEX(tblAccounts[Owner],MATCH(C51,tblAccounts[Account ID],0)),"")</f>
        <v/>
      </c>
      <c r="J51" s="53">
        <f>IFERROR(IF(INDEX(tblCoupleReview[Type Override],MATCH(A51,tblCoupleReview[Transaction ID],0))="",F51,INDEX(tblCoupleReview[Type Override],MATCH(A51,tblCoupleReview[Transaction ID],0))),F51)</f>
        <v/>
      </c>
      <c r="K51" s="53">
        <f>IFERROR(IF(INDEX(tblCoupleReview[Category Override],MATCH(A51,tblCoupleReview[Transaction ID],0))="",G51,INDEX(tblCoupleReview[Category Override],MATCH(A51,tblCoupleReview[Transaction ID],0))),G51)</f>
        <v/>
      </c>
      <c r="L51" s="53">
        <f>IFERROR(INDEX(tblCoupleReview[Budget For],MATCH(A51,tblCoupleReview[Transaction ID],0)),"Household")</f>
        <v/>
      </c>
      <c r="M51" s="53">
        <f>IFERROR(INDEX(tblCoupleReview[Related Transaction],MATCH(A51,tblCoupleReview[Transaction ID],0)),"")</f>
        <v/>
      </c>
      <c r="N51" s="54">
        <f>IFERROR(IF(INDEX(tblCoupleReview[Applies To Month],MATCH(A51,tblCoupleReview[Transaction ID],0))=0,DATE(YEAR(B51),MONTH(B51),1),INDEX(tblCoupleReview[Applies To Month],MATCH(A51,tblCoupleReview[Transaction ID],0))),DATE(YEAR(B51),MONTH(B51),1))</f>
        <v/>
      </c>
      <c r="O51" s="53">
        <f>IFERROR(INDEX(tblCoupleReview[Status],MATCH(A51,tblCoupleReview[Transaction ID],0)),"Unreviewed")</f>
        <v/>
      </c>
      <c r="P51" s="53">
        <f>IFERROR(INDEX(tblCoupleReview[Notes],MATCH(A51,tblCoupleReview[Transaction ID],0)),"")</f>
        <v/>
      </c>
    </row>
    <row r="52">
      <c r="A52" t="inlineStr">
        <is>
          <t>OCT-022</t>
        </is>
      </c>
      <c r="B52" s="51" t="n">
        <v>46307</v>
      </c>
      <c r="C52" t="inlineStr">
        <is>
          <t>RBC-P2-VISA</t>
        </is>
      </c>
      <c r="D52" t="inlineStr">
        <is>
          <t>Partner 2 Personal</t>
        </is>
      </c>
      <c r="E52" s="52" t="n">
        <v>-90</v>
      </c>
      <c r="F52" t="inlineStr">
        <is>
          <t>Expense</t>
        </is>
      </c>
      <c r="G52" t="inlineStr">
        <is>
          <t>Personal</t>
        </is>
      </c>
      <c r="H52" s="53">
        <f>IFERROR(INDEX(tblAccounts[Institution],MATCH(C52,tblAccounts[Account ID],0)),"")</f>
        <v/>
      </c>
      <c r="I52" s="53">
        <f>IFERROR(INDEX(tblAccounts[Owner],MATCH(C52,tblAccounts[Account ID],0)),"")</f>
        <v/>
      </c>
      <c r="J52" s="53">
        <f>IFERROR(IF(INDEX(tblCoupleReview[Type Override],MATCH(A52,tblCoupleReview[Transaction ID],0))="",F52,INDEX(tblCoupleReview[Type Override],MATCH(A52,tblCoupleReview[Transaction ID],0))),F52)</f>
        <v/>
      </c>
      <c r="K52" s="53">
        <f>IFERROR(IF(INDEX(tblCoupleReview[Category Override],MATCH(A52,tblCoupleReview[Transaction ID],0))="",G52,INDEX(tblCoupleReview[Category Override],MATCH(A52,tblCoupleReview[Transaction ID],0))),G52)</f>
        <v/>
      </c>
      <c r="L52" s="53">
        <f>IFERROR(INDEX(tblCoupleReview[Budget For],MATCH(A52,tblCoupleReview[Transaction ID],0)),"Household")</f>
        <v/>
      </c>
      <c r="M52" s="53">
        <f>IFERROR(INDEX(tblCoupleReview[Related Transaction],MATCH(A52,tblCoupleReview[Transaction ID],0)),"")</f>
        <v/>
      </c>
      <c r="N52" s="54">
        <f>IFERROR(IF(INDEX(tblCoupleReview[Applies To Month],MATCH(A52,tblCoupleReview[Transaction ID],0))=0,DATE(YEAR(B52),MONTH(B52),1),INDEX(tblCoupleReview[Applies To Month],MATCH(A52,tblCoupleReview[Transaction ID],0))),DATE(YEAR(B52),MONTH(B52),1))</f>
        <v/>
      </c>
      <c r="O52" s="53">
        <f>IFERROR(INDEX(tblCoupleReview[Status],MATCH(A52,tblCoupleReview[Transaction ID],0)),"Unreviewed")</f>
        <v/>
      </c>
      <c r="P52" s="53">
        <f>IFERROR(INDEX(tblCoupleReview[Notes],MATCH(A52,tblCoupleReview[Transaction ID],0)),"")</f>
        <v/>
      </c>
    </row>
    <row r="53">
      <c r="A53" t="inlineStr">
        <is>
          <t>OCT-023</t>
        </is>
      </c>
      <c r="B53" s="51" t="n">
        <v>46308</v>
      </c>
      <c r="C53" t="inlineStr">
        <is>
          <t>CIBC-P1-CHQ</t>
        </is>
      </c>
      <c r="D53" t="inlineStr">
        <is>
          <t>Visa Payment</t>
        </is>
      </c>
      <c r="E53" s="52" t="n">
        <v>-600</v>
      </c>
      <c r="F53" t="inlineStr">
        <is>
          <t>Internal Transfer</t>
        </is>
      </c>
      <c r="G53" t="inlineStr">
        <is>
          <t>Transfer</t>
        </is>
      </c>
      <c r="H53" s="53">
        <f>IFERROR(INDEX(tblAccounts[Institution],MATCH(C53,tblAccounts[Account ID],0)),"")</f>
        <v/>
      </c>
      <c r="I53" s="53">
        <f>IFERROR(INDEX(tblAccounts[Owner],MATCH(C53,tblAccounts[Account ID],0)),"")</f>
        <v/>
      </c>
      <c r="J53" s="53">
        <f>IFERROR(IF(INDEX(tblCoupleReview[Type Override],MATCH(A53,tblCoupleReview[Transaction ID],0))="",F53,INDEX(tblCoupleReview[Type Override],MATCH(A53,tblCoupleReview[Transaction ID],0))),F53)</f>
        <v/>
      </c>
      <c r="K53" s="53">
        <f>IFERROR(IF(INDEX(tblCoupleReview[Category Override],MATCH(A53,tblCoupleReview[Transaction ID],0))="",G53,INDEX(tblCoupleReview[Category Override],MATCH(A53,tblCoupleReview[Transaction ID],0))),G53)</f>
        <v/>
      </c>
      <c r="L53" s="53">
        <f>IFERROR(INDEX(tblCoupleReview[Budget For],MATCH(A53,tblCoupleReview[Transaction ID],0)),"Household")</f>
        <v/>
      </c>
      <c r="M53" s="53">
        <f>IFERROR(INDEX(tblCoupleReview[Related Transaction],MATCH(A53,tblCoupleReview[Transaction ID],0)),"")</f>
        <v/>
      </c>
      <c r="N53" s="54">
        <f>IFERROR(IF(INDEX(tblCoupleReview[Applies To Month],MATCH(A53,tblCoupleReview[Transaction ID],0))=0,DATE(YEAR(B53),MONTH(B53),1),INDEX(tblCoupleReview[Applies To Month],MATCH(A53,tblCoupleReview[Transaction ID],0))),DATE(YEAR(B53),MONTH(B53),1))</f>
        <v/>
      </c>
      <c r="O53" s="53">
        <f>IFERROR(INDEX(tblCoupleReview[Status],MATCH(A53,tblCoupleReview[Transaction ID],0)),"Unreviewed")</f>
        <v/>
      </c>
      <c r="P53" s="53">
        <f>IFERROR(INDEX(tblCoupleReview[Notes],MATCH(A53,tblCoupleReview[Transaction ID],0)),"")</f>
        <v/>
      </c>
    </row>
    <row r="54">
      <c r="A54" t="inlineStr">
        <is>
          <t>OCT-024</t>
        </is>
      </c>
      <c r="B54" s="51" t="n">
        <v>46308</v>
      </c>
      <c r="C54" t="inlineStr">
        <is>
          <t>CIBC-P1-VISA</t>
        </is>
      </c>
      <c r="D54" t="inlineStr">
        <is>
          <t>Payment Received</t>
        </is>
      </c>
      <c r="E54" s="52" t="n">
        <v>600</v>
      </c>
      <c r="F54" t="inlineStr">
        <is>
          <t>Internal Transfer</t>
        </is>
      </c>
      <c r="G54" t="inlineStr">
        <is>
          <t>Transfer</t>
        </is>
      </c>
      <c r="H54" s="53">
        <f>IFERROR(INDEX(tblAccounts[Institution],MATCH(C54,tblAccounts[Account ID],0)),"")</f>
        <v/>
      </c>
      <c r="I54" s="53">
        <f>IFERROR(INDEX(tblAccounts[Owner],MATCH(C54,tblAccounts[Account ID],0)),"")</f>
        <v/>
      </c>
      <c r="J54" s="53">
        <f>IFERROR(IF(INDEX(tblCoupleReview[Type Override],MATCH(A54,tblCoupleReview[Transaction ID],0))="",F54,INDEX(tblCoupleReview[Type Override],MATCH(A54,tblCoupleReview[Transaction ID],0))),F54)</f>
        <v/>
      </c>
      <c r="K54" s="53">
        <f>IFERROR(IF(INDEX(tblCoupleReview[Category Override],MATCH(A54,tblCoupleReview[Transaction ID],0))="",G54,INDEX(tblCoupleReview[Category Override],MATCH(A54,tblCoupleReview[Transaction ID],0))),G54)</f>
        <v/>
      </c>
      <c r="L54" s="53">
        <f>IFERROR(INDEX(tblCoupleReview[Budget For],MATCH(A54,tblCoupleReview[Transaction ID],0)),"Household")</f>
        <v/>
      </c>
      <c r="M54" s="53">
        <f>IFERROR(INDEX(tblCoupleReview[Related Transaction],MATCH(A54,tblCoupleReview[Transaction ID],0)),"")</f>
        <v/>
      </c>
      <c r="N54" s="54">
        <f>IFERROR(IF(INDEX(tblCoupleReview[Applies To Month],MATCH(A54,tblCoupleReview[Transaction ID],0))=0,DATE(YEAR(B54),MONTH(B54),1),INDEX(tblCoupleReview[Applies To Month],MATCH(A54,tblCoupleReview[Transaction ID],0))),DATE(YEAR(B54),MONTH(B54),1))</f>
        <v/>
      </c>
      <c r="O54" s="53">
        <f>IFERROR(INDEX(tblCoupleReview[Status],MATCH(A54,tblCoupleReview[Transaction ID],0)),"Unreviewed")</f>
        <v/>
      </c>
      <c r="P54" s="53">
        <f>IFERROR(INDEX(tblCoupleReview[Notes],MATCH(A54,tblCoupleReview[Transaction ID],0)),"")</f>
        <v/>
      </c>
    </row>
    <row r="55">
      <c r="A55" t="inlineStr">
        <is>
          <t>OCT-025</t>
        </is>
      </c>
      <c r="B55" s="51" t="n">
        <v>46308</v>
      </c>
      <c r="C55" t="inlineStr">
        <is>
          <t>RBC-P2-CHQ</t>
        </is>
      </c>
      <c r="D55" t="inlineStr">
        <is>
          <t>Visa Payment</t>
        </is>
      </c>
      <c r="E55" s="52" t="n">
        <v>-500</v>
      </c>
      <c r="F55" t="inlineStr">
        <is>
          <t>Internal Transfer</t>
        </is>
      </c>
      <c r="G55" t="inlineStr">
        <is>
          <t>Transfer</t>
        </is>
      </c>
      <c r="H55" s="53">
        <f>IFERROR(INDEX(tblAccounts[Institution],MATCH(C55,tblAccounts[Account ID],0)),"")</f>
        <v/>
      </c>
      <c r="I55" s="53">
        <f>IFERROR(INDEX(tblAccounts[Owner],MATCH(C55,tblAccounts[Account ID],0)),"")</f>
        <v/>
      </c>
      <c r="J55" s="53">
        <f>IFERROR(IF(INDEX(tblCoupleReview[Type Override],MATCH(A55,tblCoupleReview[Transaction ID],0))="",F55,INDEX(tblCoupleReview[Type Override],MATCH(A55,tblCoupleReview[Transaction ID],0))),F55)</f>
        <v/>
      </c>
      <c r="K55" s="53">
        <f>IFERROR(IF(INDEX(tblCoupleReview[Category Override],MATCH(A55,tblCoupleReview[Transaction ID],0))="",G55,INDEX(tblCoupleReview[Category Override],MATCH(A55,tblCoupleReview[Transaction ID],0))),G55)</f>
        <v/>
      </c>
      <c r="L55" s="53">
        <f>IFERROR(INDEX(tblCoupleReview[Budget For],MATCH(A55,tblCoupleReview[Transaction ID],0)),"Household")</f>
        <v/>
      </c>
      <c r="M55" s="53">
        <f>IFERROR(INDEX(tblCoupleReview[Related Transaction],MATCH(A55,tblCoupleReview[Transaction ID],0)),"")</f>
        <v/>
      </c>
      <c r="N55" s="54">
        <f>IFERROR(IF(INDEX(tblCoupleReview[Applies To Month],MATCH(A55,tblCoupleReview[Transaction ID],0))=0,DATE(YEAR(B55),MONTH(B55),1),INDEX(tblCoupleReview[Applies To Month],MATCH(A55,tblCoupleReview[Transaction ID],0))),DATE(YEAR(B55),MONTH(B55),1))</f>
        <v/>
      </c>
      <c r="O55" s="53">
        <f>IFERROR(INDEX(tblCoupleReview[Status],MATCH(A55,tblCoupleReview[Transaction ID],0)),"Unreviewed")</f>
        <v/>
      </c>
      <c r="P55" s="53">
        <f>IFERROR(INDEX(tblCoupleReview[Notes],MATCH(A55,tblCoupleReview[Transaction ID],0)),"")</f>
        <v/>
      </c>
    </row>
    <row r="56">
      <c r="A56" t="inlineStr">
        <is>
          <t>OCT-026</t>
        </is>
      </c>
      <c r="B56" s="51" t="n">
        <v>46308</v>
      </c>
      <c r="C56" t="inlineStr">
        <is>
          <t>RBC-P2-VISA</t>
        </is>
      </c>
      <c r="D56" t="inlineStr">
        <is>
          <t>Payment Received</t>
        </is>
      </c>
      <c r="E56" s="52" t="n">
        <v>500</v>
      </c>
      <c r="F56" t="inlineStr">
        <is>
          <t>Internal Transfer</t>
        </is>
      </c>
      <c r="G56" t="inlineStr">
        <is>
          <t>Transfer</t>
        </is>
      </c>
      <c r="H56" s="53">
        <f>IFERROR(INDEX(tblAccounts[Institution],MATCH(C56,tblAccounts[Account ID],0)),"")</f>
        <v/>
      </c>
      <c r="I56" s="53">
        <f>IFERROR(INDEX(tblAccounts[Owner],MATCH(C56,tblAccounts[Account ID],0)),"")</f>
        <v/>
      </c>
      <c r="J56" s="53">
        <f>IFERROR(IF(INDEX(tblCoupleReview[Type Override],MATCH(A56,tblCoupleReview[Transaction ID],0))="",F56,INDEX(tblCoupleReview[Type Override],MATCH(A56,tblCoupleReview[Transaction ID],0))),F56)</f>
        <v/>
      </c>
      <c r="K56" s="53">
        <f>IFERROR(IF(INDEX(tblCoupleReview[Category Override],MATCH(A56,tblCoupleReview[Transaction ID],0))="",G56,INDEX(tblCoupleReview[Category Override],MATCH(A56,tblCoupleReview[Transaction ID],0))),G56)</f>
        <v/>
      </c>
      <c r="L56" s="53">
        <f>IFERROR(INDEX(tblCoupleReview[Budget For],MATCH(A56,tblCoupleReview[Transaction ID],0)),"Household")</f>
        <v/>
      </c>
      <c r="M56" s="53">
        <f>IFERROR(INDEX(tblCoupleReview[Related Transaction],MATCH(A56,tblCoupleReview[Transaction ID],0)),"")</f>
        <v/>
      </c>
      <c r="N56" s="54">
        <f>IFERROR(IF(INDEX(tblCoupleReview[Applies To Month],MATCH(A56,tblCoupleReview[Transaction ID],0))=0,DATE(YEAR(B56),MONTH(B56),1),INDEX(tblCoupleReview[Applies To Month],MATCH(A56,tblCoupleReview[Transaction ID],0))),DATE(YEAR(B56),MONTH(B56),1))</f>
        <v/>
      </c>
      <c r="O56" s="53">
        <f>IFERROR(INDEX(tblCoupleReview[Status],MATCH(A56,tblCoupleReview[Transaction ID],0)),"Unreviewed")</f>
        <v/>
      </c>
      <c r="P56" s="53">
        <f>IFERROR(INDEX(tblCoupleReview[Notes],MATCH(A56,tblCoupleReview[Transaction ID],0)),"")</f>
        <v/>
      </c>
    </row>
  </sheetData>
  <mergeCells count="2">
    <mergeCell ref="A1:P1"/>
    <mergeCell ref="A2:P2"/>
  </mergeCells>
  <conditionalFormatting sqref="O5:O56">
    <cfRule type="expression" priority="1" dxfId="1">
      <formula>O5="Verified"</formula>
    </cfRule>
    <cfRule type="expression" priority="2" dxfId="4">
      <formula>O5&lt;&gt;"Verified"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H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24" customWidth="1" min="4" max="4"/>
    <col width="18" customWidth="1" min="5" max="5"/>
    <col width="25" customWidth="1" min="6" max="6"/>
    <col width="20" customWidth="1" min="7" max="7"/>
    <col width="38" customWidth="1" min="8" max="8"/>
  </cols>
  <sheetData>
    <row r="1">
      <c r="A1" s="42" t="inlineStr">
        <is>
          <t>Transaction Review &amp; Household Allocation</t>
        </is>
      </c>
    </row>
    <row r="2" ht="34" customHeight="1">
      <c r="A2" s="47" t="inlineStr">
        <is>
          <t>Use Budget For to distinguish shared household spending from each partner's personal spending. Manual corrections remain attached through Transaction ID.</t>
        </is>
      </c>
    </row>
    <row r="3">
      <c r="A3" s="12" t="inlineStr">
        <is>
          <t>← Start Here</t>
        </is>
      </c>
      <c r="B3" s="12" t="inlineStr">
        <is>
          <t>October</t>
        </is>
      </c>
      <c r="C3" s="12" t="inlineStr">
        <is>
          <t>Transactions</t>
        </is>
      </c>
    </row>
    <row r="4">
      <c r="A4" t="inlineStr">
        <is>
          <t>Transaction ID</t>
        </is>
      </c>
      <c r="B4" t="inlineStr">
        <is>
          <t>Status</t>
        </is>
      </c>
      <c r="C4" t="inlineStr">
        <is>
          <t>Type Override</t>
        </is>
      </c>
      <c r="D4" t="inlineStr">
        <is>
          <t>Category Override</t>
        </is>
      </c>
      <c r="E4" t="inlineStr">
        <is>
          <t>Budget For</t>
        </is>
      </c>
      <c r="F4" t="inlineStr">
        <is>
          <t>Related Transaction</t>
        </is>
      </c>
      <c r="G4" t="inlineStr">
        <is>
          <t>Applies To Month</t>
        </is>
      </c>
      <c r="H4" t="inlineStr">
        <is>
          <t>Notes</t>
        </is>
      </c>
    </row>
    <row r="5">
      <c r="A5" s="44" t="inlineStr">
        <is>
          <t>SEP-001</t>
        </is>
      </c>
      <c r="B5" s="44" t="inlineStr">
        <is>
          <t>Verified</t>
        </is>
      </c>
      <c r="C5" s="44" t="inlineStr"/>
      <c r="D5" s="44" t="inlineStr"/>
      <c r="E5" s="44" t="inlineStr">
        <is>
          <t>Household</t>
        </is>
      </c>
      <c r="F5" s="44" t="inlineStr"/>
      <c r="G5" s="55" t="n">
        <v>46266</v>
      </c>
      <c r="H5" s="44" t="inlineStr"/>
    </row>
    <row r="6">
      <c r="A6" s="44" t="inlineStr">
        <is>
          <t>SEP-002</t>
        </is>
      </c>
      <c r="B6" s="44" t="inlineStr">
        <is>
          <t>Verified</t>
        </is>
      </c>
      <c r="C6" s="44" t="inlineStr"/>
      <c r="D6" s="44" t="inlineStr"/>
      <c r="E6" s="44" t="inlineStr">
        <is>
          <t>Household</t>
        </is>
      </c>
      <c r="F6" s="44" t="inlineStr"/>
      <c r="G6" s="55" t="n">
        <v>46266</v>
      </c>
      <c r="H6" s="44" t="inlineStr"/>
    </row>
    <row r="7">
      <c r="A7" s="44" t="inlineStr">
        <is>
          <t>SEP-003</t>
        </is>
      </c>
      <c r="B7" s="44" t="inlineStr">
        <is>
          <t>Verified</t>
        </is>
      </c>
      <c r="C7" s="44" t="inlineStr"/>
      <c r="D7" s="44" t="inlineStr"/>
      <c r="E7" s="44" t="inlineStr">
        <is>
          <t>Household</t>
        </is>
      </c>
      <c r="F7" s="44" t="inlineStr">
        <is>
          <t>P1-JOINT-SEP</t>
        </is>
      </c>
      <c r="G7" s="55" t="n">
        <v>46266</v>
      </c>
      <c r="H7" s="44" t="inlineStr"/>
    </row>
    <row r="8">
      <c r="A8" s="44" t="inlineStr">
        <is>
          <t>SEP-004</t>
        </is>
      </c>
      <c r="B8" s="44" t="inlineStr">
        <is>
          <t>Verified</t>
        </is>
      </c>
      <c r="C8" s="44" t="inlineStr"/>
      <c r="D8" s="44" t="inlineStr"/>
      <c r="E8" s="44" t="inlineStr">
        <is>
          <t>Household</t>
        </is>
      </c>
      <c r="F8" s="44" t="inlineStr">
        <is>
          <t>P1-JOINT-SEP</t>
        </is>
      </c>
      <c r="G8" s="55" t="n">
        <v>46266</v>
      </c>
      <c r="H8" s="44" t="inlineStr"/>
    </row>
    <row r="9">
      <c r="A9" s="44" t="inlineStr">
        <is>
          <t>SEP-005</t>
        </is>
      </c>
      <c r="B9" s="44" t="inlineStr">
        <is>
          <t>Verified</t>
        </is>
      </c>
      <c r="C9" s="44" t="inlineStr"/>
      <c r="D9" s="44" t="inlineStr"/>
      <c r="E9" s="44" t="inlineStr">
        <is>
          <t>Household</t>
        </is>
      </c>
      <c r="F9" s="44" t="inlineStr">
        <is>
          <t>P2-JOINT-SEP</t>
        </is>
      </c>
      <c r="G9" s="55" t="n">
        <v>46266</v>
      </c>
      <c r="H9" s="44" t="inlineStr"/>
    </row>
    <row r="10">
      <c r="A10" s="44" t="inlineStr">
        <is>
          <t>SEP-006</t>
        </is>
      </c>
      <c r="B10" s="44" t="inlineStr">
        <is>
          <t>Verified</t>
        </is>
      </c>
      <c r="C10" s="44" t="inlineStr"/>
      <c r="D10" s="44" t="inlineStr"/>
      <c r="E10" s="44" t="inlineStr">
        <is>
          <t>Household</t>
        </is>
      </c>
      <c r="F10" s="44" t="inlineStr">
        <is>
          <t>P2-JOINT-SEP</t>
        </is>
      </c>
      <c r="G10" s="55" t="n">
        <v>46266</v>
      </c>
      <c r="H10" s="44" t="inlineStr"/>
    </row>
    <row r="11">
      <c r="A11" s="44" t="inlineStr">
        <is>
          <t>SEP-007</t>
        </is>
      </c>
      <c r="B11" s="44" t="inlineStr">
        <is>
          <t>Verified</t>
        </is>
      </c>
      <c r="C11" s="44" t="inlineStr"/>
      <c r="D11" s="44" t="inlineStr"/>
      <c r="E11" s="44" t="inlineStr">
        <is>
          <t>Household</t>
        </is>
      </c>
      <c r="F11" s="44" t="inlineStr">
        <is>
          <t>RENT-2026-09</t>
        </is>
      </c>
      <c r="G11" s="55" t="n">
        <v>46266</v>
      </c>
      <c r="H11" s="44" t="inlineStr"/>
    </row>
    <row r="12">
      <c r="A12" s="44" t="inlineStr">
        <is>
          <t>SEP-008</t>
        </is>
      </c>
      <c r="B12" s="44" t="inlineStr">
        <is>
          <t>Verified</t>
        </is>
      </c>
      <c r="C12" s="44" t="inlineStr"/>
      <c r="D12" s="44" t="inlineStr"/>
      <c r="E12" s="44" t="inlineStr">
        <is>
          <t>Household</t>
        </is>
      </c>
      <c r="F12" s="44" t="inlineStr"/>
      <c r="G12" s="55" t="n">
        <v>46266</v>
      </c>
      <c r="H12" s="44" t="inlineStr"/>
    </row>
    <row r="13">
      <c r="A13" s="44" t="inlineStr">
        <is>
          <t>SEP-009</t>
        </is>
      </c>
      <c r="B13" s="44" t="inlineStr">
        <is>
          <t>Verified</t>
        </is>
      </c>
      <c r="C13" s="44" t="inlineStr">
        <is>
          <t>Sinking Fund Contribution</t>
        </is>
      </c>
      <c r="D13" s="44" t="inlineStr">
        <is>
          <t>Emergency Fund</t>
        </is>
      </c>
      <c r="E13" s="44" t="inlineStr">
        <is>
          <t>Household</t>
        </is>
      </c>
      <c r="F13" s="44" t="inlineStr">
        <is>
          <t>SINK-2026-09</t>
        </is>
      </c>
      <c r="G13" s="55" t="n">
        <v>46266</v>
      </c>
      <c r="H13" s="44" t="inlineStr"/>
    </row>
    <row r="14">
      <c r="A14" s="44" t="inlineStr">
        <is>
          <t>SEP-010</t>
        </is>
      </c>
      <c r="B14" s="44" t="inlineStr">
        <is>
          <t>Verified</t>
        </is>
      </c>
      <c r="C14" s="44" t="inlineStr"/>
      <c r="D14" s="44" t="inlineStr"/>
      <c r="E14" s="44" t="inlineStr">
        <is>
          <t>Household</t>
        </is>
      </c>
      <c r="F14" s="44" t="inlineStr">
        <is>
          <t>SINK-2026-09</t>
        </is>
      </c>
      <c r="G14" s="55" t="n">
        <v>46266</v>
      </c>
      <c r="H14" s="44" t="inlineStr"/>
    </row>
    <row r="15">
      <c r="A15" s="44" t="inlineStr">
        <is>
          <t>SEP-011</t>
        </is>
      </c>
      <c r="B15" s="44" t="inlineStr">
        <is>
          <t>Verified</t>
        </is>
      </c>
      <c r="C15" s="44" t="inlineStr">
        <is>
          <t>Investment Contribution</t>
        </is>
      </c>
      <c r="D15" s="44" t="inlineStr">
        <is>
          <t>TFSA</t>
        </is>
      </c>
      <c r="E15" s="44" t="inlineStr">
        <is>
          <t>Partner 1</t>
        </is>
      </c>
      <c r="F15" s="44" t="inlineStr">
        <is>
          <t>P1-INVEST-2026-09</t>
        </is>
      </c>
      <c r="G15" s="55" t="n">
        <v>46266</v>
      </c>
      <c r="H15" s="44" t="inlineStr"/>
    </row>
    <row r="16">
      <c r="A16" s="44" t="inlineStr">
        <is>
          <t>SEP-012</t>
        </is>
      </c>
      <c r="B16" s="44" t="inlineStr">
        <is>
          <t>Verified</t>
        </is>
      </c>
      <c r="C16" s="44" t="inlineStr">
        <is>
          <t>Investment Contribution</t>
        </is>
      </c>
      <c r="D16" s="44" t="inlineStr">
        <is>
          <t>TFSA</t>
        </is>
      </c>
      <c r="E16" s="44" t="inlineStr">
        <is>
          <t>Partner 2</t>
        </is>
      </c>
      <c r="F16" s="44" t="inlineStr">
        <is>
          <t>P2-INVEST-2026-09</t>
        </is>
      </c>
      <c r="G16" s="55" t="n">
        <v>46266</v>
      </c>
      <c r="H16" s="44" t="inlineStr"/>
    </row>
    <row r="17">
      <c r="A17" s="44" t="inlineStr">
        <is>
          <t>SEP-013</t>
        </is>
      </c>
      <c r="B17" s="44" t="inlineStr">
        <is>
          <t>Verified</t>
        </is>
      </c>
      <c r="C17" s="44" t="inlineStr"/>
      <c r="D17" s="44" t="inlineStr"/>
      <c r="E17" s="44" t="inlineStr">
        <is>
          <t>Household</t>
        </is>
      </c>
      <c r="F17" s="44" t="inlineStr"/>
      <c r="G17" s="55" t="n">
        <v>46266</v>
      </c>
      <c r="H17" s="44" t="inlineStr"/>
    </row>
    <row r="18">
      <c r="A18" s="44" t="inlineStr">
        <is>
          <t>SEP-014</t>
        </is>
      </c>
      <c r="B18" s="44" t="inlineStr">
        <is>
          <t>Verified</t>
        </is>
      </c>
      <c r="C18" s="44" t="inlineStr"/>
      <c r="D18" s="44" t="inlineStr"/>
      <c r="E18" s="44" t="inlineStr">
        <is>
          <t>Household</t>
        </is>
      </c>
      <c r="F18" s="44" t="inlineStr"/>
      <c r="G18" s="55" t="n">
        <v>46266</v>
      </c>
      <c r="H18" s="44" t="inlineStr"/>
    </row>
    <row r="19">
      <c r="A19" s="44" t="inlineStr">
        <is>
          <t>SEP-015</t>
        </is>
      </c>
      <c r="B19" s="44" t="inlineStr">
        <is>
          <t>Verified</t>
        </is>
      </c>
      <c r="C19" s="44" t="inlineStr"/>
      <c r="D19" s="44" t="inlineStr"/>
      <c r="E19" s="44" t="inlineStr">
        <is>
          <t>Household</t>
        </is>
      </c>
      <c r="F19" s="44" t="inlineStr">
        <is>
          <t>DINNER-2026-09</t>
        </is>
      </c>
      <c r="G19" s="55" t="n">
        <v>46266</v>
      </c>
      <c r="H19" s="44" t="inlineStr"/>
    </row>
    <row r="20">
      <c r="A20" s="44" t="inlineStr">
        <is>
          <t>SEP-016</t>
        </is>
      </c>
      <c r="B20" s="44" t="inlineStr">
        <is>
          <t>Verified</t>
        </is>
      </c>
      <c r="C20" s="44" t="inlineStr">
        <is>
          <t>Reimbursement Received</t>
        </is>
      </c>
      <c r="D20" s="44" t="inlineStr">
        <is>
          <t>Restaurants</t>
        </is>
      </c>
      <c r="E20" s="44" t="inlineStr">
        <is>
          <t>Household</t>
        </is>
      </c>
      <c r="F20" s="44" t="inlineStr">
        <is>
          <t>DINNER-2026-09</t>
        </is>
      </c>
      <c r="G20" s="55" t="n">
        <v>46266</v>
      </c>
      <c r="H20" s="44" t="inlineStr"/>
    </row>
    <row r="21">
      <c r="A21" s="44" t="inlineStr">
        <is>
          <t>SEP-017</t>
        </is>
      </c>
      <c r="B21" s="44" t="inlineStr">
        <is>
          <t>Verified</t>
        </is>
      </c>
      <c r="C21" s="44" t="inlineStr"/>
      <c r="D21" s="44" t="inlineStr"/>
      <c r="E21" s="44" t="inlineStr">
        <is>
          <t>Household</t>
        </is>
      </c>
      <c r="F21" s="44" t="inlineStr"/>
      <c r="G21" s="55" t="n">
        <v>46266</v>
      </c>
      <c r="H21" s="44" t="inlineStr"/>
    </row>
    <row r="22">
      <c r="A22" s="44" t="inlineStr">
        <is>
          <t>SEP-018</t>
        </is>
      </c>
      <c r="B22" s="44" t="inlineStr">
        <is>
          <t>Verified</t>
        </is>
      </c>
      <c r="C22" s="44" t="inlineStr"/>
      <c r="D22" s="44" t="inlineStr"/>
      <c r="E22" s="44" t="inlineStr">
        <is>
          <t>Household</t>
        </is>
      </c>
      <c r="F22" s="44" t="inlineStr"/>
      <c r="G22" s="55" t="n">
        <v>46266</v>
      </c>
      <c r="H22" s="44" t="inlineStr"/>
    </row>
    <row r="23">
      <c r="A23" s="44" t="inlineStr">
        <is>
          <t>SEP-019</t>
        </is>
      </c>
      <c r="B23" s="44" t="inlineStr">
        <is>
          <t>Verified</t>
        </is>
      </c>
      <c r="C23" s="44" t="inlineStr"/>
      <c r="D23" s="44" t="inlineStr"/>
      <c r="E23" s="44" t="inlineStr">
        <is>
          <t>Household</t>
        </is>
      </c>
      <c r="F23" s="44" t="inlineStr"/>
      <c r="G23" s="55" t="n">
        <v>46266</v>
      </c>
      <c r="H23" s="44" t="inlineStr"/>
    </row>
    <row r="24">
      <c r="A24" s="44" t="inlineStr">
        <is>
          <t>SEP-020</t>
        </is>
      </c>
      <c r="B24" s="44" t="inlineStr">
        <is>
          <t>Verified</t>
        </is>
      </c>
      <c r="C24" s="44" t="inlineStr"/>
      <c r="D24" s="44" t="inlineStr"/>
      <c r="E24" s="44" t="inlineStr">
        <is>
          <t>Household</t>
        </is>
      </c>
      <c r="F24" s="44" t="inlineStr"/>
      <c r="G24" s="55" t="n">
        <v>46266</v>
      </c>
      <c r="H24" s="44" t="inlineStr"/>
    </row>
    <row r="25">
      <c r="A25" s="44" t="inlineStr">
        <is>
          <t>SEP-021</t>
        </is>
      </c>
      <c r="B25" s="44" t="inlineStr">
        <is>
          <t>Verified</t>
        </is>
      </c>
      <c r="C25" s="44" t="inlineStr"/>
      <c r="D25" s="44" t="inlineStr"/>
      <c r="E25" s="44" t="inlineStr">
        <is>
          <t>Partner 1</t>
        </is>
      </c>
      <c r="F25" s="44" t="inlineStr"/>
      <c r="G25" s="55" t="n">
        <v>46266</v>
      </c>
      <c r="H25" s="44" t="inlineStr"/>
    </row>
    <row r="26">
      <c r="A26" s="44" t="inlineStr">
        <is>
          <t>SEP-022</t>
        </is>
      </c>
      <c r="B26" s="44" t="inlineStr">
        <is>
          <t>Verified</t>
        </is>
      </c>
      <c r="C26" s="44" t="inlineStr"/>
      <c r="D26" s="44" t="inlineStr"/>
      <c r="E26" s="44" t="inlineStr">
        <is>
          <t>Partner 2</t>
        </is>
      </c>
      <c r="F26" s="44" t="inlineStr"/>
      <c r="G26" s="55" t="n">
        <v>46266</v>
      </c>
      <c r="H26" s="44" t="inlineStr"/>
    </row>
    <row r="27">
      <c r="A27" s="44" t="inlineStr">
        <is>
          <t>SEP-023</t>
        </is>
      </c>
      <c r="B27" s="44" t="inlineStr">
        <is>
          <t>Verified</t>
        </is>
      </c>
      <c r="C27" s="44" t="inlineStr"/>
      <c r="D27" s="44" t="inlineStr"/>
      <c r="E27" s="44" t="inlineStr">
        <is>
          <t>Partner 1</t>
        </is>
      </c>
      <c r="F27" s="44" t="inlineStr">
        <is>
          <t>P1-VISA-SEP</t>
        </is>
      </c>
      <c r="G27" s="55" t="n">
        <v>46266</v>
      </c>
      <c r="H27" s="44" t="inlineStr"/>
    </row>
    <row r="28">
      <c r="A28" s="44" t="inlineStr">
        <is>
          <t>SEP-024</t>
        </is>
      </c>
      <c r="B28" s="44" t="inlineStr">
        <is>
          <t>Verified</t>
        </is>
      </c>
      <c r="C28" s="44" t="inlineStr"/>
      <c r="D28" s="44" t="inlineStr"/>
      <c r="E28" s="44" t="inlineStr">
        <is>
          <t>Partner 1</t>
        </is>
      </c>
      <c r="F28" s="44" t="inlineStr">
        <is>
          <t>P1-VISA-SEP</t>
        </is>
      </c>
      <c r="G28" s="55" t="n">
        <v>46266</v>
      </c>
      <c r="H28" s="44" t="inlineStr"/>
    </row>
    <row r="29">
      <c r="A29" s="44" t="inlineStr">
        <is>
          <t>SEP-025</t>
        </is>
      </c>
      <c r="B29" s="44" t="inlineStr">
        <is>
          <t>Verified</t>
        </is>
      </c>
      <c r="C29" s="44" t="inlineStr"/>
      <c r="D29" s="44" t="inlineStr"/>
      <c r="E29" s="44" t="inlineStr">
        <is>
          <t>Partner 2</t>
        </is>
      </c>
      <c r="F29" s="44" t="inlineStr">
        <is>
          <t>P2-VISA-SEP</t>
        </is>
      </c>
      <c r="G29" s="55" t="n">
        <v>46266</v>
      </c>
      <c r="H29" s="44" t="inlineStr"/>
    </row>
    <row r="30">
      <c r="A30" s="44" t="inlineStr">
        <is>
          <t>SEP-026</t>
        </is>
      </c>
      <c r="B30" s="44" t="inlineStr">
        <is>
          <t>Verified</t>
        </is>
      </c>
      <c r="C30" s="44" t="inlineStr"/>
      <c r="D30" s="44" t="inlineStr"/>
      <c r="E30" s="44" t="inlineStr">
        <is>
          <t>Partner 2</t>
        </is>
      </c>
      <c r="F30" s="44" t="inlineStr">
        <is>
          <t>P2-VISA-SEP</t>
        </is>
      </c>
      <c r="G30" s="55" t="n">
        <v>46266</v>
      </c>
      <c r="H30" s="44" t="inlineStr"/>
    </row>
    <row r="31">
      <c r="A31" s="44" t="inlineStr">
        <is>
          <t>OCT-001</t>
        </is>
      </c>
      <c r="B31" s="44" t="inlineStr">
        <is>
          <t>Verified</t>
        </is>
      </c>
      <c r="C31" s="44" t="inlineStr"/>
      <c r="D31" s="44" t="inlineStr"/>
      <c r="E31" s="44" t="inlineStr">
        <is>
          <t>Household</t>
        </is>
      </c>
      <c r="F31" s="44" t="inlineStr"/>
      <c r="G31" s="55" t="n">
        <v>46296</v>
      </c>
      <c r="H31" s="44" t="inlineStr"/>
    </row>
    <row r="32">
      <c r="A32" s="44" t="inlineStr">
        <is>
          <t>OCT-002</t>
        </is>
      </c>
      <c r="B32" s="44" t="inlineStr">
        <is>
          <t>Verified</t>
        </is>
      </c>
      <c r="C32" s="44" t="inlineStr"/>
      <c r="D32" s="44" t="inlineStr"/>
      <c r="E32" s="44" t="inlineStr">
        <is>
          <t>Household</t>
        </is>
      </c>
      <c r="F32" s="44" t="inlineStr"/>
      <c r="G32" s="55" t="n">
        <v>46296</v>
      </c>
      <c r="H32" s="44" t="inlineStr"/>
    </row>
    <row r="33">
      <c r="A33" s="44" t="inlineStr">
        <is>
          <t>OCT-003</t>
        </is>
      </c>
      <c r="B33" s="44" t="inlineStr">
        <is>
          <t>Verified</t>
        </is>
      </c>
      <c r="C33" s="44" t="inlineStr"/>
      <c r="D33" s="44" t="inlineStr"/>
      <c r="E33" s="44" t="inlineStr">
        <is>
          <t>Household</t>
        </is>
      </c>
      <c r="F33" s="44" t="inlineStr">
        <is>
          <t>P1-JOINT-OCT</t>
        </is>
      </c>
      <c r="G33" s="55" t="n">
        <v>46296</v>
      </c>
      <c r="H33" s="44" t="inlineStr"/>
    </row>
    <row r="34">
      <c r="A34" s="44" t="inlineStr">
        <is>
          <t>OCT-004</t>
        </is>
      </c>
      <c r="B34" s="44" t="inlineStr">
        <is>
          <t>Verified</t>
        </is>
      </c>
      <c r="C34" s="44" t="inlineStr"/>
      <c r="D34" s="44" t="inlineStr"/>
      <c r="E34" s="44" t="inlineStr">
        <is>
          <t>Household</t>
        </is>
      </c>
      <c r="F34" s="44" t="inlineStr">
        <is>
          <t>P1-JOINT-OCT</t>
        </is>
      </c>
      <c r="G34" s="55" t="n">
        <v>46296</v>
      </c>
      <c r="H34" s="44" t="inlineStr"/>
    </row>
    <row r="35">
      <c r="A35" s="44" t="inlineStr">
        <is>
          <t>OCT-005</t>
        </is>
      </c>
      <c r="B35" s="44" t="inlineStr">
        <is>
          <t>Verified</t>
        </is>
      </c>
      <c r="C35" s="44" t="inlineStr"/>
      <c r="D35" s="44" t="inlineStr"/>
      <c r="E35" s="44" t="inlineStr">
        <is>
          <t>Household</t>
        </is>
      </c>
      <c r="F35" s="44" t="inlineStr">
        <is>
          <t>P2-JOINT-OCT</t>
        </is>
      </c>
      <c r="G35" s="55" t="n">
        <v>46296</v>
      </c>
      <c r="H35" s="44" t="inlineStr"/>
    </row>
    <row r="36">
      <c r="A36" s="44" t="inlineStr">
        <is>
          <t>OCT-006</t>
        </is>
      </c>
      <c r="B36" s="44" t="inlineStr">
        <is>
          <t>Verified</t>
        </is>
      </c>
      <c r="C36" s="44" t="inlineStr"/>
      <c r="D36" s="44" t="inlineStr"/>
      <c r="E36" s="44" t="inlineStr">
        <is>
          <t>Household</t>
        </is>
      </c>
      <c r="F36" s="44" t="inlineStr">
        <is>
          <t>P2-JOINT-OCT</t>
        </is>
      </c>
      <c r="G36" s="55" t="n">
        <v>46296</v>
      </c>
      <c r="H36" s="44" t="inlineStr"/>
    </row>
    <row r="37">
      <c r="A37" s="44" t="inlineStr">
        <is>
          <t>OCT-007</t>
        </is>
      </c>
      <c r="B37" s="44" t="inlineStr">
        <is>
          <t>Verified</t>
        </is>
      </c>
      <c r="C37" s="44" t="inlineStr"/>
      <c r="D37" s="44" t="inlineStr"/>
      <c r="E37" s="44" t="inlineStr">
        <is>
          <t>Household</t>
        </is>
      </c>
      <c r="F37" s="44" t="inlineStr">
        <is>
          <t>RENT-2026-10</t>
        </is>
      </c>
      <c r="G37" s="55" t="n">
        <v>46296</v>
      </c>
      <c r="H37" s="44" t="inlineStr"/>
    </row>
    <row r="38">
      <c r="A38" s="44" t="inlineStr">
        <is>
          <t>OCT-008</t>
        </is>
      </c>
      <c r="B38" s="44" t="inlineStr">
        <is>
          <t>Verified</t>
        </is>
      </c>
      <c r="C38" s="44" t="inlineStr"/>
      <c r="D38" s="44" t="inlineStr"/>
      <c r="E38" s="44" t="inlineStr">
        <is>
          <t>Household</t>
        </is>
      </c>
      <c r="F38" s="44" t="inlineStr"/>
      <c r="G38" s="55" t="n">
        <v>46296</v>
      </c>
      <c r="H38" s="44" t="inlineStr"/>
    </row>
    <row r="39">
      <c r="A39" s="44" t="inlineStr">
        <is>
          <t>OCT-009</t>
        </is>
      </c>
      <c r="B39" s="44" t="inlineStr">
        <is>
          <t>Verified</t>
        </is>
      </c>
      <c r="C39" s="44" t="inlineStr">
        <is>
          <t>Sinking Fund Contribution</t>
        </is>
      </c>
      <c r="D39" s="44" t="inlineStr">
        <is>
          <t>Emergency Fund</t>
        </is>
      </c>
      <c r="E39" s="44" t="inlineStr">
        <is>
          <t>Household</t>
        </is>
      </c>
      <c r="F39" s="44" t="inlineStr">
        <is>
          <t>SINK-2026-10</t>
        </is>
      </c>
      <c r="G39" s="55" t="n">
        <v>46296</v>
      </c>
      <c r="H39" s="44" t="inlineStr"/>
    </row>
    <row r="40">
      <c r="A40" s="44" t="inlineStr">
        <is>
          <t>OCT-010</t>
        </is>
      </c>
      <c r="B40" s="44" t="inlineStr">
        <is>
          <t>Verified</t>
        </is>
      </c>
      <c r="C40" s="44" t="inlineStr"/>
      <c r="D40" s="44" t="inlineStr"/>
      <c r="E40" s="44" t="inlineStr">
        <is>
          <t>Household</t>
        </is>
      </c>
      <c r="F40" s="44" t="inlineStr">
        <is>
          <t>SINK-2026-10</t>
        </is>
      </c>
      <c r="G40" s="55" t="n">
        <v>46296</v>
      </c>
      <c r="H40" s="44" t="inlineStr"/>
    </row>
    <row r="41">
      <c r="A41" s="44" t="inlineStr">
        <is>
          <t>OCT-011</t>
        </is>
      </c>
      <c r="B41" s="44" t="inlineStr">
        <is>
          <t>Verified</t>
        </is>
      </c>
      <c r="C41" s="44" t="inlineStr">
        <is>
          <t>Investment Contribution</t>
        </is>
      </c>
      <c r="D41" s="44" t="inlineStr">
        <is>
          <t>TFSA</t>
        </is>
      </c>
      <c r="E41" s="44" t="inlineStr">
        <is>
          <t>Partner 1</t>
        </is>
      </c>
      <c r="F41" s="44" t="inlineStr">
        <is>
          <t>P1-INVEST-2026-10</t>
        </is>
      </c>
      <c r="G41" s="55" t="n">
        <v>46296</v>
      </c>
      <c r="H41" s="44" t="inlineStr"/>
    </row>
    <row r="42">
      <c r="A42" s="44" t="inlineStr">
        <is>
          <t>OCT-012</t>
        </is>
      </c>
      <c r="B42" s="44" t="inlineStr">
        <is>
          <t>Verified</t>
        </is>
      </c>
      <c r="C42" s="44" t="inlineStr">
        <is>
          <t>Investment Contribution</t>
        </is>
      </c>
      <c r="D42" s="44" t="inlineStr">
        <is>
          <t>TFSA</t>
        </is>
      </c>
      <c r="E42" s="44" t="inlineStr">
        <is>
          <t>Partner 2</t>
        </is>
      </c>
      <c r="F42" s="44" t="inlineStr">
        <is>
          <t>P2-INVEST-2026-10</t>
        </is>
      </c>
      <c r="G42" s="55" t="n">
        <v>46296</v>
      </c>
      <c r="H42" s="44" t="inlineStr"/>
    </row>
    <row r="43">
      <c r="A43" s="44" t="inlineStr">
        <is>
          <t>OCT-013</t>
        </is>
      </c>
      <c r="B43" s="44" t="inlineStr">
        <is>
          <t>Verified</t>
        </is>
      </c>
      <c r="C43" s="44" t="inlineStr"/>
      <c r="D43" s="44" t="inlineStr"/>
      <c r="E43" s="44" t="inlineStr">
        <is>
          <t>Household</t>
        </is>
      </c>
      <c r="F43" s="44" t="inlineStr"/>
      <c r="G43" s="55" t="n">
        <v>46296</v>
      </c>
      <c r="H43" s="44" t="inlineStr"/>
    </row>
    <row r="44">
      <c r="A44" s="44" t="inlineStr">
        <is>
          <t>OCT-014</t>
        </is>
      </c>
      <c r="B44" s="44" t="inlineStr">
        <is>
          <t>Verified</t>
        </is>
      </c>
      <c r="C44" s="44" t="inlineStr"/>
      <c r="D44" s="44" t="inlineStr"/>
      <c r="E44" s="44" t="inlineStr">
        <is>
          <t>Household</t>
        </is>
      </c>
      <c r="F44" s="44" t="inlineStr"/>
      <c r="G44" s="55" t="n">
        <v>46296</v>
      </c>
      <c r="H44" s="44" t="inlineStr"/>
    </row>
    <row r="45">
      <c r="A45" s="44" t="inlineStr">
        <is>
          <t>OCT-015</t>
        </is>
      </c>
      <c r="B45" s="44" t="inlineStr">
        <is>
          <t>Verified</t>
        </is>
      </c>
      <c r="C45" s="44" t="inlineStr"/>
      <c r="D45" s="44" t="inlineStr"/>
      <c r="E45" s="44" t="inlineStr">
        <is>
          <t>Household</t>
        </is>
      </c>
      <c r="F45" s="44" t="inlineStr">
        <is>
          <t>DINNER-2026-10</t>
        </is>
      </c>
      <c r="G45" s="55" t="n">
        <v>46296</v>
      </c>
      <c r="H45" s="44" t="inlineStr"/>
    </row>
    <row r="46">
      <c r="A46" s="44" t="inlineStr">
        <is>
          <t>OCT-016</t>
        </is>
      </c>
      <c r="B46" s="44" t="inlineStr">
        <is>
          <t>Verified</t>
        </is>
      </c>
      <c r="C46" s="44" t="inlineStr">
        <is>
          <t>Reimbursement Received</t>
        </is>
      </c>
      <c r="D46" s="44" t="inlineStr">
        <is>
          <t>Restaurants</t>
        </is>
      </c>
      <c r="E46" s="44" t="inlineStr">
        <is>
          <t>Household</t>
        </is>
      </c>
      <c r="F46" s="44" t="inlineStr">
        <is>
          <t>DINNER-2026-10</t>
        </is>
      </c>
      <c r="G46" s="55" t="n">
        <v>46296</v>
      </c>
      <c r="H46" s="44" t="inlineStr"/>
    </row>
    <row r="47">
      <c r="A47" s="44" t="inlineStr">
        <is>
          <t>OCT-017</t>
        </is>
      </c>
      <c r="B47" s="44" t="inlineStr">
        <is>
          <t>Verified</t>
        </is>
      </c>
      <c r="C47" s="44" t="inlineStr"/>
      <c r="D47" s="44" t="inlineStr"/>
      <c r="E47" s="44" t="inlineStr">
        <is>
          <t>Household</t>
        </is>
      </c>
      <c r="F47" s="44" t="inlineStr"/>
      <c r="G47" s="55" t="n">
        <v>46296</v>
      </c>
      <c r="H47" s="44" t="inlineStr"/>
    </row>
    <row r="48">
      <c r="A48" s="44" t="inlineStr">
        <is>
          <t>OCT-018</t>
        </is>
      </c>
      <c r="B48" s="44" t="inlineStr">
        <is>
          <t>Verified</t>
        </is>
      </c>
      <c r="C48" s="44" t="inlineStr"/>
      <c r="D48" s="44" t="inlineStr"/>
      <c r="E48" s="44" t="inlineStr">
        <is>
          <t>Household</t>
        </is>
      </c>
      <c r="F48" s="44" t="inlineStr"/>
      <c r="G48" s="55" t="n">
        <v>46296</v>
      </c>
      <c r="H48" s="44" t="inlineStr"/>
    </row>
    <row r="49">
      <c r="A49" s="44" t="inlineStr">
        <is>
          <t>OCT-019</t>
        </is>
      </c>
      <c r="B49" s="44" t="inlineStr">
        <is>
          <t>Verified</t>
        </is>
      </c>
      <c r="C49" s="44" t="inlineStr"/>
      <c r="D49" s="44" t="inlineStr"/>
      <c r="E49" s="44" t="inlineStr">
        <is>
          <t>Household</t>
        </is>
      </c>
      <c r="F49" s="44" t="inlineStr"/>
      <c r="G49" s="55" t="n">
        <v>46296</v>
      </c>
      <c r="H49" s="44" t="inlineStr"/>
    </row>
    <row r="50">
      <c r="A50" s="44" t="inlineStr">
        <is>
          <t>OCT-020</t>
        </is>
      </c>
      <c r="B50" s="44" t="inlineStr">
        <is>
          <t>Verified</t>
        </is>
      </c>
      <c r="C50" s="44" t="inlineStr"/>
      <c r="D50" s="44" t="inlineStr"/>
      <c r="E50" s="44" t="inlineStr">
        <is>
          <t>Household</t>
        </is>
      </c>
      <c r="F50" s="44" t="inlineStr"/>
      <c r="G50" s="55" t="n">
        <v>46296</v>
      </c>
      <c r="H50" s="44" t="inlineStr"/>
    </row>
    <row r="51">
      <c r="A51" s="44" t="inlineStr">
        <is>
          <t>OCT-021</t>
        </is>
      </c>
      <c r="B51" s="44" t="inlineStr">
        <is>
          <t>Unreviewed</t>
        </is>
      </c>
      <c r="C51" s="44" t="inlineStr"/>
      <c r="D51" s="44" t="inlineStr"/>
      <c r="E51" s="44" t="inlineStr">
        <is>
          <t>Partner 1</t>
        </is>
      </c>
      <c r="F51" s="44" t="inlineStr"/>
      <c r="G51" s="55" t="n">
        <v>46296</v>
      </c>
      <c r="H51" s="44" t="inlineStr">
        <is>
          <t>Change this to Verified to close October.</t>
        </is>
      </c>
    </row>
    <row r="52">
      <c r="A52" s="44" t="inlineStr">
        <is>
          <t>OCT-022</t>
        </is>
      </c>
      <c r="B52" s="44" t="inlineStr">
        <is>
          <t>Verified</t>
        </is>
      </c>
      <c r="C52" s="44" t="inlineStr"/>
      <c r="D52" s="44" t="inlineStr"/>
      <c r="E52" s="44" t="inlineStr">
        <is>
          <t>Partner 2</t>
        </is>
      </c>
      <c r="F52" s="44" t="inlineStr"/>
      <c r="G52" s="55" t="n">
        <v>46296</v>
      </c>
      <c r="H52" s="44" t="inlineStr"/>
    </row>
    <row r="53">
      <c r="A53" s="44" t="inlineStr">
        <is>
          <t>OCT-023</t>
        </is>
      </c>
      <c r="B53" s="44" t="inlineStr">
        <is>
          <t>Verified</t>
        </is>
      </c>
      <c r="C53" s="44" t="inlineStr"/>
      <c r="D53" s="44" t="inlineStr"/>
      <c r="E53" s="44" t="inlineStr">
        <is>
          <t>Partner 1</t>
        </is>
      </c>
      <c r="F53" s="44" t="inlineStr">
        <is>
          <t>P1-VISA-OCT</t>
        </is>
      </c>
      <c r="G53" s="55" t="n">
        <v>46296</v>
      </c>
      <c r="H53" s="44" t="inlineStr"/>
    </row>
    <row r="54">
      <c r="A54" s="44" t="inlineStr">
        <is>
          <t>OCT-024</t>
        </is>
      </c>
      <c r="B54" s="44" t="inlineStr">
        <is>
          <t>Verified</t>
        </is>
      </c>
      <c r="C54" s="44" t="inlineStr"/>
      <c r="D54" s="44" t="inlineStr"/>
      <c r="E54" s="44" t="inlineStr">
        <is>
          <t>Partner 1</t>
        </is>
      </c>
      <c r="F54" s="44" t="inlineStr">
        <is>
          <t>P1-VISA-OCT</t>
        </is>
      </c>
      <c r="G54" s="55" t="n">
        <v>46296</v>
      </c>
      <c r="H54" s="44" t="inlineStr"/>
    </row>
    <row r="55">
      <c r="A55" s="44" t="inlineStr">
        <is>
          <t>OCT-025</t>
        </is>
      </c>
      <c r="B55" s="44" t="inlineStr">
        <is>
          <t>Verified</t>
        </is>
      </c>
      <c r="C55" s="44" t="inlineStr"/>
      <c r="D55" s="44" t="inlineStr"/>
      <c r="E55" s="44" t="inlineStr">
        <is>
          <t>Partner 2</t>
        </is>
      </c>
      <c r="F55" s="44" t="inlineStr">
        <is>
          <t>P2-VISA-OCT</t>
        </is>
      </c>
      <c r="G55" s="55" t="n">
        <v>46296</v>
      </c>
      <c r="H55" s="44" t="inlineStr"/>
    </row>
    <row r="56">
      <c r="A56" s="44" t="inlineStr">
        <is>
          <t>OCT-026</t>
        </is>
      </c>
      <c r="B56" s="44" t="inlineStr">
        <is>
          <t>Verified</t>
        </is>
      </c>
      <c r="C56" s="44" t="inlineStr"/>
      <c r="D56" s="44" t="inlineStr"/>
      <c r="E56" s="44" t="inlineStr">
        <is>
          <t>Partner 2</t>
        </is>
      </c>
      <c r="F56" s="44" t="inlineStr">
        <is>
          <t>P2-VISA-OCT</t>
        </is>
      </c>
      <c r="G56" s="55" t="n">
        <v>46296</v>
      </c>
      <c r="H56" s="44" t="inlineStr"/>
    </row>
  </sheetData>
  <mergeCells count="2">
    <mergeCell ref="A2:H2"/>
    <mergeCell ref="A1:H1"/>
  </mergeCells>
  <conditionalFormatting sqref="B5:B56">
    <cfRule type="expression" priority="1" dxfId="1">
      <formula>B5="Verified"</formula>
    </cfRule>
    <cfRule type="expression" priority="2" dxfId="4">
      <formula>B5&lt;&gt;"Verified"</formula>
    </cfRule>
  </conditionalFormatting>
  <dataValidations count="4">
    <dataValidation sqref="B5:B56" showDropDown="0" showInputMessage="0" showErrorMessage="0" allowBlank="0" type="list">
      <formula1>=CoupleStatusList</formula1>
    </dataValidation>
    <dataValidation sqref="C5:C56" showDropDown="0" showInputMessage="0" showErrorMessage="0" allowBlank="1" type="list">
      <formula1>=CoupleTypeList</formula1>
    </dataValidation>
    <dataValidation sqref="D5:D56" showDropDown="0" showInputMessage="0" showErrorMessage="0" allowBlank="1" type="list">
      <formula1>=CoupleCategoryList</formula1>
    </dataValidation>
    <dataValidation sqref="E5:E56" showDropDown="0" showInputMessage="0" showErrorMessage="0" allowBlank="0" type="list">
      <formula1>=BudgetForList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Statuses</t>
        </is>
      </c>
      <c r="B1" t="inlineStr">
        <is>
          <t>Types</t>
        </is>
      </c>
      <c r="C1" t="inlineStr">
        <is>
          <t>Categories</t>
        </is>
      </c>
      <c r="D1" t="inlineStr">
        <is>
          <t>BudgetFor</t>
        </is>
      </c>
    </row>
    <row r="2">
      <c r="A2" t="inlineStr">
        <is>
          <t>Verified</t>
        </is>
      </c>
      <c r="B2" t="inlineStr">
        <is>
          <t>Income</t>
        </is>
      </c>
      <c r="C2" t="inlineStr">
        <is>
          <t>Employment</t>
        </is>
      </c>
      <c r="D2" t="inlineStr">
        <is>
          <t>Household</t>
        </is>
      </c>
    </row>
    <row r="3">
      <c r="A3" t="inlineStr">
        <is>
          <t>Unreviewed</t>
        </is>
      </c>
      <c r="B3" t="inlineStr">
        <is>
          <t>Expense</t>
        </is>
      </c>
      <c r="C3" t="inlineStr">
        <is>
          <t>Rent</t>
        </is>
      </c>
      <c r="D3" t="inlineStr">
        <is>
          <t>Partner 1</t>
        </is>
      </c>
    </row>
    <row r="4">
      <c r="A4" t="inlineStr">
        <is>
          <t>Needs Correction</t>
        </is>
      </c>
      <c r="B4" t="inlineStr">
        <is>
          <t>Reimbursement Received</t>
        </is>
      </c>
      <c r="C4" t="inlineStr">
        <is>
          <t>Groceries</t>
        </is>
      </c>
      <c r="D4" t="inlineStr">
        <is>
          <t>Partner 2</t>
        </is>
      </c>
    </row>
    <row r="5">
      <c r="A5" t="inlineStr">
        <is>
          <t>Duplicate</t>
        </is>
      </c>
      <c r="B5" t="inlineStr">
        <is>
          <t>Sinking Fund Contribution</t>
        </is>
      </c>
      <c r="C5" t="inlineStr">
        <is>
          <t>Utilities</t>
        </is>
      </c>
    </row>
    <row r="6">
      <c r="A6" t="inlineStr">
        <is>
          <t>Excluded</t>
        </is>
      </c>
      <c r="B6" t="inlineStr">
        <is>
          <t>Investment Contribution</t>
        </is>
      </c>
      <c r="C6" t="inlineStr">
        <is>
          <t>Restaurants</t>
        </is>
      </c>
    </row>
    <row r="7">
      <c r="B7" t="inlineStr">
        <is>
          <t>Internal Transfer</t>
        </is>
      </c>
      <c r="C7" t="inlineStr">
        <is>
          <t>Transportation</t>
        </is>
      </c>
    </row>
    <row r="8">
      <c r="C8" t="inlineStr">
        <is>
          <t>Subscriptions</t>
        </is>
      </c>
    </row>
    <row r="9">
      <c r="C9" t="inlineStr">
        <is>
          <t>Household Supplies</t>
        </is>
      </c>
    </row>
    <row r="10">
      <c r="C10" t="inlineStr">
        <is>
          <t>Personal</t>
        </is>
      </c>
    </row>
    <row r="11">
      <c r="C11" t="inlineStr">
        <is>
          <t>Emergency Fund</t>
        </is>
      </c>
    </row>
    <row r="12">
      <c r="C12" t="inlineStr">
        <is>
          <t>TFSA</t>
        </is>
      </c>
    </row>
    <row r="13">
      <c r="C13" t="inlineStr">
        <is>
          <t>Transfer</t>
        </is>
      </c>
    </row>
    <row r="14">
      <c r="C14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2026-10-13T17:55:24Z</dcterms:created>
  <dcterms:modified xsi:type="dcterms:W3CDTF">2026-10-13T17:55:24Z</dcterms:modified>
</cp:coreProperties>
</file>