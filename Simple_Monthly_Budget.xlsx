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tart Here" sheetId="1" state="visible" r:id="rId1"/>
    <sheet name="October" sheetId="2" state="visible" r:id="rId2"/>
    <sheet name="September" sheetId="3" state="visible" r:id="rId3"/>
    <sheet name="Transactions" sheetId="4" state="visible" r:id="rId4"/>
    <sheet name="Review Log" sheetId="5" state="visible" r:id="rId5"/>
    <sheet name="Lists" sheetId="6" state="hidden" r:id="rId6"/>
  </sheets>
  <definedNames>
    <definedName name="StatusList">'Lists'!$A$2:$A$6</definedName>
    <definedName name="TypeList">'Lists'!$B$2:$B$7</definedName>
    <definedName name="CategoryList">'Lists'!$C$2:$C$13</definedName>
    <definedName name="_xlnm._FilterDatabase" localSheetId="1" hidden="1">'October'!$A$11:$G$19</definedName>
    <definedName name="_xlnm.Print_Area" localSheetId="1">'October'!$A$1:$J$31</definedName>
    <definedName name="_xlnm._FilterDatabase" localSheetId="2" hidden="1">'September'!$A$11:$G$19</definedName>
    <definedName name="_xlnm.Print_Area" localSheetId="2">'September'!$A$1:$J$31</definedName>
    <definedName name="_xlnm._FilterDatabase" localSheetId="4" hidden="1">'Review Log'!$A$4:$G$39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mm yyyy"/>
    <numFmt numFmtId="166" formatCode="mmm d, yyyy"/>
    <numFmt numFmtId="167" formatCode="$#,##0.00;[Red]-$#,##0.00"/>
    <numFmt numFmtId="168" formatCode="$#,##0.00"/>
  </numFmts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7F8C8D"/>
    </font>
    <font>
      <b val="1"/>
      <color rgb="00FFFFFF"/>
      <sz val="11"/>
    </font>
    <font>
      <b val="1"/>
      <color rgb="00FFFFFF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  <sz val="16"/>
    </font>
    <font>
      <b val="1"/>
      <color rgb="00FFFFFF"/>
      <sz val="18"/>
    </font>
    <font>
      <b val="1"/>
      <color rgb="0017365D"/>
      <sz val="18"/>
    </font>
    <font>
      <i val="1"/>
      <color rgb="007F8C8D"/>
      <sz val="9"/>
    </font>
    <font>
      <b val="1"/>
    </font>
    <font/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  <fill>
      <patternFill patternType="solid">
        <fgColor rgb="00F3F8FC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2">
    <xf numFmtId="0" fontId="0" fillId="0" borderId="0"/>
    <xf numFmtId="0" fontId="6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/>
    </xf>
    <xf numFmtId="0" fontId="0" fillId="4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6" fillId="0" borderId="0" applyAlignment="1" pivotButton="0" quotePrefix="0" xfId="1">
      <alignment horizontal="center"/>
    </xf>
    <xf numFmtId="0" fontId="8" fillId="2" borderId="0" applyAlignment="1" pivotButton="0" quotePrefix="0" xfId="0">
      <alignment horizontal="center"/>
    </xf>
    <xf numFmtId="165" fontId="0" fillId="0" borderId="0" pivotButton="0" quotePrefix="0" xfId="0"/>
    <xf numFmtId="0" fontId="2" fillId="4" borderId="0" applyAlignment="1" pivotButton="0" quotePrefix="0" xfId="0">
      <alignment horizontal="center" wrapText="1"/>
    </xf>
    <xf numFmtId="0" fontId="6" fillId="0" borderId="0" pivotButton="0" quotePrefix="0" xfId="1"/>
    <xf numFmtId="0" fontId="2" fillId="0" borderId="0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0" fillId="0" borderId="1" pivotButton="0" quotePrefix="0" xfId="0"/>
    <xf numFmtId="168" fontId="9" fillId="6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wrapText="1"/>
    </xf>
    <xf numFmtId="0" fontId="12" fillId="4" borderId="1" pivotButton="0" quotePrefix="0" xfId="0"/>
    <xf numFmtId="168" fontId="0" fillId="5" borderId="1" applyAlignment="1" pivotButton="0" quotePrefix="0" xfId="0">
      <alignment horizontal="center"/>
    </xf>
    <xf numFmtId="168" fontId="0" fillId="5" borderId="1" pivotButton="0" quotePrefix="0" xfId="0"/>
    <xf numFmtId="168" fontId="0" fillId="4" borderId="1" pivotButton="0" quotePrefix="0" xfId="0"/>
    <xf numFmtId="9" fontId="0" fillId="4" borderId="1" pivotButton="0" quotePrefix="0" xfId="0"/>
    <xf numFmtId="166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8" fontId="0" fillId="6" borderId="1" applyAlignment="1" pivotButton="0" quotePrefix="0" xfId="0">
      <alignment horizontal="center"/>
    </xf>
    <xf numFmtId="0" fontId="11" fillId="0" borderId="1" pivotButton="0" quotePrefix="0" xfId="0"/>
    <xf numFmtId="168" fontId="11" fillId="6" borderId="1" pivotButton="0" quotePrefix="0" xfId="0"/>
    <xf numFmtId="9" fontId="11" fillId="6" borderId="1" pivotButton="0" quotePrefix="0" xfId="0"/>
    <xf numFmtId="0" fontId="11" fillId="4" borderId="1" pivotButton="0" quotePrefix="0" xfId="0"/>
    <xf numFmtId="0" fontId="11" fillId="6" borderId="1" applyAlignment="1" pivotButton="0" quotePrefix="0" xfId="0">
      <alignment horizontal="center"/>
    </xf>
    <xf numFmtId="0" fontId="0" fillId="4" borderId="1" pivotButton="0" quotePrefix="0" xfId="0"/>
    <xf numFmtId="168" fontId="0" fillId="6" borderId="1" pivotButton="0" quotePrefix="0" xfId="0"/>
    <xf numFmtId="167" fontId="0" fillId="5" borderId="1" pivotButton="0" quotePrefix="0" xfId="0"/>
    <xf numFmtId="167" fontId="0" fillId="4" borderId="1" pivotButton="0" quotePrefix="0" xfId="0"/>
    <xf numFmtId="168" fontId="11" fillId="7" borderId="1" pivotButton="0" quotePrefix="0" xfId="0"/>
    <xf numFmtId="0" fontId="2" fillId="9" borderId="0" applyAlignment="1" pivotButton="0" quotePrefix="0" xfId="0">
      <alignment horizontal="center" wrapText="1"/>
    </xf>
    <xf numFmtId="0" fontId="7" fillId="2" borderId="0" applyAlignment="1" pivotButton="0" quotePrefix="0" xfId="0">
      <alignment horizontal="center"/>
    </xf>
    <xf numFmtId="0" fontId="0" fillId="6" borderId="0" applyAlignment="1" pivotButton="0" quotePrefix="0" xfId="0">
      <alignment wrapText="1"/>
    </xf>
    <xf numFmtId="166" fontId="0" fillId="0" borderId="0" pivotButton="0" quotePrefix="0" xfId="0"/>
    <xf numFmtId="167" fontId="0" fillId="0" borderId="0" pivotButton="0" quotePrefix="0" xfId="0"/>
    <xf numFmtId="0" fontId="0" fillId="6" borderId="0" pivotButton="0" quotePrefix="0" xfId="0"/>
    <xf numFmtId="165" fontId="0" fillId="6" borderId="0" pivotButton="0" quotePrefix="0" xfId="0"/>
    <xf numFmtId="0" fontId="0" fillId="5" borderId="0" applyAlignment="1" pivotButton="0" quotePrefix="0" xfId="0">
      <alignment wrapText="1"/>
    </xf>
    <xf numFmtId="0" fontId="0" fillId="5" borderId="0" pivotButton="0" quotePrefix="0" xfId="0"/>
    <xf numFmtId="165" fontId="0" fillId="5" borderId="0" pivotButton="0" quotePrefix="0" xfId="0"/>
  </cellXfs>
  <cellStyles count="2">
    <cellStyle name="Normal" xfId="0" builtinId="0" hidden="0"/>
    <cellStyle name="Hyperlink" xfId="1" builtinId="8" hidden="0"/>
  </cellStyles>
  <dxfs count="5">
    <dxf>
      <font>
        <color rgb="00C00000"/>
      </font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  <dxf>
      <font>
        <b val="1"/>
        <color rgb="0070AD47"/>
      </font>
      <fill>
        <patternFill patternType="solid">
          <fgColor rgb="00E2F0D9"/>
        </patternFill>
      </fill>
    </dxf>
    <dxf>
      <font>
        <b val="1"/>
        <color rgb="00C00000"/>
      </font>
      <fill>
        <patternFill patternType="solid">
          <fgColor rgb="00FCE4D6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Cursor</author>
  </authors>
  <commentList>
    <comment ref="J11" authorId="0" shapeId="0">
      <text>
        <t>Editable planning input.</t>
      </text>
    </comment>
    <comment ref="J12" authorId="0" shapeId="0">
      <text>
        <t>Editable planning input.</t>
      </text>
    </comment>
    <comment ref="J13" authorId="0" shapeId="0">
      <text>
        <t>Editable planning input.</t>
      </text>
    </comment>
  </commentList>
</comments>
</file>

<file path=xl/comments/comment2.xml><?xml version="1.0" encoding="utf-8"?>
<comments xmlns="http://schemas.openxmlformats.org/spreadsheetml/2006/main">
  <authors>
    <author>Cursor</author>
  </authors>
  <commentList>
    <comment ref="J11" authorId="0" shapeId="0">
      <text>
        <t>Editable planning input.</t>
      </text>
    </comment>
    <comment ref="J12" authorId="0" shapeId="0">
      <text>
        <t>Editable planning input.</t>
      </text>
    </comment>
    <comment ref="J13" authorId="0" shapeId="0">
      <text>
        <t>Editable planning input.</t>
      </text>
    </comment>
  </commentList>
</comments>
</file>

<file path=xl/tables/table1.xml><?xml version="1.0" encoding="utf-8"?>
<table xmlns="http://schemas.openxmlformats.org/spreadsheetml/2006/main" id="1" name="tblTransactions" displayName="tblTransactions" ref="A4:M39" headerRowCount="1">
  <autoFilter ref="A4:M39"/>
  <tableColumns count="13">
    <tableColumn id="1" name="Transaction ID"/>
    <tableColumn id="2" name="Posted Date"/>
    <tableColumn id="3" name="Merchant"/>
    <tableColumn id="4" name="Account"/>
    <tableColumn id="5" name="Amount"/>
    <tableColumn id="6" name="Suggested Type"/>
    <tableColumn id="7" name="Suggested Category"/>
    <tableColumn id="8" name="Final Type"/>
    <tableColumn id="9" name="Final Category"/>
    <tableColumn id="10" name="Related Transaction"/>
    <tableColumn id="11" name="Applies To Month"/>
    <tableColumn id="12" name="Review Status"/>
    <tableColumn id="13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Review" displayName="tblReview" ref="A4:G39" headerRowCount="1">
  <autoFilter ref="A4:G39"/>
  <tableColumns count="7">
    <tableColumn id="1" name="Transaction ID"/>
    <tableColumn id="2" name="Status"/>
    <tableColumn id="3" name="Type Override"/>
    <tableColumn id="4" name="Category Override"/>
    <tableColumn id="5" name="Related Transaction"/>
    <tableColumn id="6" name="Applies To Month"/>
    <tableColumn id="7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October'!A1" TargetMode="External" Id="rId1" /><Relationship Type="http://schemas.openxmlformats.org/officeDocument/2006/relationships/hyperlink" Target="#'September'!A1" TargetMode="External" Id="rId2" /><Relationship Type="http://schemas.openxmlformats.org/officeDocument/2006/relationships/hyperlink" Target="#'Transactions'!A1" TargetMode="External" Id="rId3" /><Relationship Type="http://schemas.openxmlformats.org/officeDocument/2006/relationships/hyperlink" Target="#'Review Log'!A1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#'Start Here'!A1" TargetMode="External" Id="rId1" /><Relationship Type="http://schemas.openxmlformats.org/officeDocument/2006/relationships/hyperlink" Target="#'September'!A1" TargetMode="External" Id="rId2" /><Relationship Type="http://schemas.openxmlformats.org/officeDocument/2006/relationships/hyperlink" Target="#'Transactions'!A1" TargetMode="External" Id="rId3" /><Relationship Type="http://schemas.openxmlformats.org/officeDocument/2006/relationships/hyperlink" Target="#'Review Log'!A1" TargetMode="External" Id="rId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#'Start Here'!A1" TargetMode="External" Id="rId1" /><Relationship Type="http://schemas.openxmlformats.org/officeDocument/2006/relationships/hyperlink" Target="#'October'!A1" TargetMode="External" Id="rId2" /><Relationship Type="http://schemas.openxmlformats.org/officeDocument/2006/relationships/hyperlink" Target="#'Transactions'!A1" TargetMode="External" Id="rId3" /><Relationship Type="http://schemas.openxmlformats.org/officeDocument/2006/relationships/hyperlink" Target="#'Review Log'!A1" TargetMode="External" Id="rId4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#'Start Here'!A1" TargetMode="External" Id="rId1" /><Relationship Type="http://schemas.openxmlformats.org/officeDocument/2006/relationships/hyperlink" Target="#'October'!A1" TargetMode="External" Id="rId2" /><Relationship Type="http://schemas.openxmlformats.org/officeDocument/2006/relationships/hyperlink" Target="#'September'!A1" TargetMode="External" Id="rId3" /><Relationship Type="http://schemas.openxmlformats.org/officeDocument/2006/relationships/hyperlink" Target="#'Review Log'!A1" TargetMode="External" Id="rId4" /><Relationship Type="http://schemas.openxmlformats.org/officeDocument/2006/relationships/table" Target="/xl/tables/table1.xml" Id="rId5" /></Relationships>
</file>

<file path=xl/worksheets/_rels/sheet5.xml.rels><Relationships xmlns="http://schemas.openxmlformats.org/package/2006/relationships"><Relationship Type="http://schemas.openxmlformats.org/officeDocument/2006/relationships/hyperlink" Target="#'Start Here'!A1" TargetMode="External" Id="rId1" /><Relationship Type="http://schemas.openxmlformats.org/officeDocument/2006/relationships/hyperlink" Target="#'October'!A1" TargetMode="External" Id="rId2" /><Relationship Type="http://schemas.openxmlformats.org/officeDocument/2006/relationships/hyperlink" Target="#'September'!A1" TargetMode="External" Id="rId3" /><Relationship Type="http://schemas.openxmlformats.org/officeDocument/2006/relationships/hyperlink" Target="#'Transactions'!A1" TargetMode="External" Id="rId4" /><Relationship Type="http://schemas.openxmlformats.org/officeDocument/2006/relationships/table" Target="/xl/tables/table2.xml" Id="rId5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B2:E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4" customWidth="1" min="3" max="3"/>
    <col width="24" customWidth="1" min="4" max="4"/>
    <col width="24" customWidth="1" min="5" max="5"/>
    <col width="4" customWidth="1" min="6" max="6"/>
  </cols>
  <sheetData>
    <row r="2" ht="34" customHeight="1">
      <c r="B2" s="1" t="inlineStr">
        <is>
          <t>Simple Monthly Budget — Sample Workbook</t>
        </is>
      </c>
    </row>
    <row r="3" ht="34" customHeight="1">
      <c r="B3" s="2" t="inlineStr">
        <is>
          <t>A small month-by-month view that separates spending, reimbursements, goal contributions, and statement verification.</t>
        </is>
      </c>
    </row>
    <row r="6">
      <c r="B6" s="3" t="inlineStr">
        <is>
          <t>What the monthly page should answer</t>
        </is>
      </c>
    </row>
    <row r="7">
      <c r="B7" s="4" t="inlineStr">
        <is>
          <t>1</t>
        </is>
      </c>
      <c r="C7" s="5" t="inlineStr">
        <is>
          <t>How much income has arrived?</t>
        </is>
      </c>
    </row>
    <row r="8">
      <c r="B8" s="4" t="inlineStr">
        <is>
          <t>2</t>
        </is>
      </c>
      <c r="C8" s="5" t="inlineStr">
        <is>
          <t>What did I personally spend after reimbursements?</t>
        </is>
      </c>
    </row>
    <row r="9">
      <c r="B9" s="4" t="inlineStr">
        <is>
          <t>3</t>
        </is>
      </c>
      <c r="C9" s="5" t="inlineStr">
        <is>
          <t>Am I still within my category budgets?</t>
        </is>
      </c>
    </row>
    <row r="10">
      <c r="B10" s="4" t="inlineStr">
        <is>
          <t>4</t>
        </is>
      </c>
      <c r="C10" s="5" t="inlineStr">
        <is>
          <t>How much did I put toward savings and investments?</t>
        </is>
      </c>
    </row>
    <row r="11">
      <c r="B11" s="4" t="inlineStr">
        <is>
          <t>5</t>
        </is>
      </c>
      <c r="C11" s="5" t="inlineStr">
        <is>
          <t>Do the imported transactions match my bank statements?</t>
        </is>
      </c>
    </row>
    <row r="14">
      <c r="B14" s="3" t="inlineStr">
        <is>
          <t>How to try the sample</t>
        </is>
      </c>
    </row>
    <row r="15" ht="30" customHeight="1">
      <c r="B15" s="6" t="inlineStr">
        <is>
          <t>1.</t>
        </is>
      </c>
      <c r="C15" s="7" t="inlineStr">
        <is>
          <t>Open October. Yellow cells are the only cells intended for manual entry.</t>
        </is>
      </c>
    </row>
    <row r="16" ht="30" customHeight="1">
      <c r="B16" s="6" t="inlineStr">
        <is>
          <t>2.</t>
        </is>
      </c>
      <c r="C16" s="7" t="inlineStr">
        <is>
          <t>Review the budget and account-check sections. The statement differences are $0.</t>
        </is>
      </c>
    </row>
    <row r="17" ht="30" customHeight="1">
      <c r="B17" s="6" t="inlineStr">
        <is>
          <t>3.</t>
        </is>
      </c>
      <c r="C17" s="7" t="inlineStr">
        <is>
          <t>Open Review Log and change OCT-014 from Unreviewed to Verified.</t>
        </is>
      </c>
    </row>
    <row r="18" ht="30" customHeight="1">
      <c r="B18" s="6" t="inlineStr">
        <is>
          <t>4.</t>
        </is>
      </c>
      <c r="C18" s="7" t="inlineStr">
        <is>
          <t>Return to October. Excel recalculates the month status to Reconciled.</t>
        </is>
      </c>
    </row>
    <row r="19" ht="30" customHeight="1">
      <c r="B19" s="6" t="inlineStr">
        <is>
          <t>5.</t>
        </is>
      </c>
      <c r="C19" s="7" t="inlineStr">
        <is>
          <t>When adapting this file, keep Power Query output separate and merge reviews by Transaction ID.</t>
        </is>
      </c>
    </row>
    <row r="22">
      <c r="B22" s="3" t="inlineStr">
        <is>
          <t>Colour key</t>
        </is>
      </c>
    </row>
    <row r="23">
      <c r="B23" s="8" t="n"/>
      <c r="C23" t="inlineStr">
        <is>
          <t>Editable input</t>
        </is>
      </c>
    </row>
    <row r="24">
      <c r="B24" s="9" t="n"/>
      <c r="C24" t="inlineStr">
        <is>
          <t>Calculated result</t>
        </is>
      </c>
    </row>
    <row r="25">
      <c r="B25" s="10" t="n"/>
      <c r="C25" t="inlineStr">
        <is>
          <t>Verified or within budget</t>
        </is>
      </c>
    </row>
    <row r="26">
      <c r="B26" s="11" t="n"/>
      <c r="C26" t="inlineStr">
        <is>
          <t>Needs attention</t>
        </is>
      </c>
    </row>
    <row r="29">
      <c r="B29" s="3" t="inlineStr">
        <is>
          <t>Open a sheet</t>
        </is>
      </c>
    </row>
    <row r="30">
      <c r="B30" s="12" t="inlineStr">
        <is>
          <t>October sample</t>
        </is>
      </c>
      <c r="C30" s="12" t="inlineStr">
        <is>
          <t>September sample</t>
        </is>
      </c>
      <c r="D30" s="12" t="inlineStr">
        <is>
          <t>Transactions</t>
        </is>
      </c>
      <c r="E30" s="12" t="inlineStr">
        <is>
          <t>Review Log</t>
        </is>
      </c>
    </row>
  </sheetData>
  <mergeCells count="20">
    <mergeCell ref="C16:E16"/>
    <mergeCell ref="B6:E6"/>
    <mergeCell ref="C9:E9"/>
    <mergeCell ref="C11:E11"/>
    <mergeCell ref="C23:E23"/>
    <mergeCell ref="C8:E8"/>
    <mergeCell ref="C17:E17"/>
    <mergeCell ref="B3:E3"/>
    <mergeCell ref="C7:E7"/>
    <mergeCell ref="B22:E22"/>
    <mergeCell ref="C19:E19"/>
    <mergeCell ref="C18:E18"/>
    <mergeCell ref="B2:E2"/>
    <mergeCell ref="C15:E15"/>
    <mergeCell ref="B14:E14"/>
    <mergeCell ref="C24:E24"/>
    <mergeCell ref="B29:E29"/>
    <mergeCell ref="C26:E26"/>
    <mergeCell ref="C25:E25"/>
    <mergeCell ref="C10:E10"/>
  </mergeCells>
  <hyperlinks>
    <hyperlink xmlns:r="http://schemas.openxmlformats.org/officeDocument/2006/relationships" ref="B30" r:id="rId1"/>
    <hyperlink xmlns:r="http://schemas.openxmlformats.org/officeDocument/2006/relationships" ref="C30" r:id="rId2"/>
    <hyperlink xmlns:r="http://schemas.openxmlformats.org/officeDocument/2006/relationships" ref="D30" r:id="rId3"/>
    <hyperlink xmlns:r="http://schemas.openxmlformats.org/officeDocument/2006/relationships" ref="E30" r:id="rId4"/>
  </hyperlink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L3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7" customWidth="1" min="3" max="3"/>
    <col width="17" customWidth="1" min="4" max="4"/>
    <col width="17" customWidth="1" min="5" max="5"/>
    <col width="17" customWidth="1" min="6" max="6"/>
    <col width="13" customWidth="1" min="7" max="7"/>
    <col width="3" customWidth="1" min="8" max="8"/>
    <col width="23" customWidth="1" min="9" max="9"/>
    <col width="20" customWidth="1" min="10" max="10"/>
    <col hidden="1" width="13" customWidth="1" min="12" max="12"/>
  </cols>
  <sheetData>
    <row r="1" ht="32" customHeight="1">
      <c r="A1" s="13" t="inlineStr">
        <is>
          <t>October 2026 — Monthly Budget Check</t>
        </is>
      </c>
      <c r="L1" s="14" t="n">
        <v>46296</v>
      </c>
    </row>
    <row r="2" ht="30" customHeight="1">
      <c r="A2" s="15" t="inlineStr">
        <is>
          <t>A simple answer to: what came in, what I spent, what I set aside, what remains, and whether the month matches the bank.</t>
        </is>
      </c>
    </row>
    <row r="3" ht="20" customHeight="1">
      <c r="A3" s="16" t="inlineStr">
        <is>
          <t>← Start Here</t>
        </is>
      </c>
      <c r="B3" s="16" t="inlineStr">
        <is>
          <t>September</t>
        </is>
      </c>
      <c r="C3" s="16" t="inlineStr">
        <is>
          <t>Transactions</t>
        </is>
      </c>
      <c r="D3" s="16" t="inlineStr">
        <is>
          <t>Review Log</t>
        </is>
      </c>
      <c r="F3" s="17" t="inlineStr">
        <is>
          <t>Yellow = editable   |   Blue = calculated</t>
        </is>
      </c>
    </row>
    <row r="4" ht="20" customHeight="1"/>
    <row r="5" ht="20" customHeight="1">
      <c r="A5" s="18" t="inlineStr">
        <is>
          <t>Income Received</t>
        </is>
      </c>
      <c r="B5" s="19" t="n"/>
      <c r="C5" s="18" t="inlineStr">
        <is>
          <t>Net Spending</t>
        </is>
      </c>
      <c r="D5" s="19" t="n"/>
      <c r="E5" s="18" t="inlineStr">
        <is>
          <t>Budget Remaining</t>
        </is>
      </c>
      <c r="F5" s="19" t="n"/>
      <c r="G5" s="18" t="inlineStr">
        <is>
          <t>Goals Funded</t>
        </is>
      </c>
      <c r="H5" s="19" t="n"/>
      <c r="I5" s="18" t="inlineStr">
        <is>
          <t>Unallocated Income</t>
        </is>
      </c>
      <c r="J5" s="19" t="n"/>
    </row>
    <row r="6" ht="20" customHeight="1">
      <c r="A6" s="20">
        <f>J23</f>
        <v/>
      </c>
      <c r="B6" s="19" t="n"/>
      <c r="C6" s="20">
        <f>J26</f>
        <v/>
      </c>
      <c r="D6" s="19" t="n"/>
      <c r="E6" s="20">
        <f>SUM(F12:F18)</f>
        <v/>
      </c>
      <c r="F6" s="19" t="n"/>
      <c r="G6" s="20">
        <f>J27+J28</f>
        <v/>
      </c>
      <c r="H6" s="19" t="n"/>
      <c r="I6" s="20">
        <f>J29</f>
        <v/>
      </c>
      <c r="J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</row>
    <row r="8" ht="20" customHeight="1">
      <c r="A8" s="21">
        <f>"of "&amp;TEXT(J11,"$#,##0")&amp;" expected"</f>
        <v/>
      </c>
      <c r="B8" s="19" t="n"/>
      <c r="C8" s="21">
        <f>"Gross "&amp;TEXT(SUM(C12:C18),"$#,##0")&amp;" less "&amp;TEXT(SUM(D12:D18),"$#,##0")</f>
        <v/>
      </c>
      <c r="D8" s="19" t="n"/>
      <c r="E8" s="21">
        <f>"of "&amp;TEXT(SUM(B12:B18),"$#,##0")&amp;" category budget"</f>
        <v/>
      </c>
      <c r="F8" s="19" t="n"/>
      <c r="G8" s="21">
        <f>"Goal "&amp;TEXT(J12+J13,"$#,##0")</f>
        <v/>
      </c>
      <c r="H8" s="19" t="n"/>
      <c r="I8" s="21" t="inlineStr">
        <is>
          <t>After spending and goal contributions</t>
        </is>
      </c>
      <c r="J8" s="19" t="n"/>
    </row>
    <row r="9" ht="20" customHeight="1"/>
    <row r="10" ht="20" customHeight="1">
      <c r="A10" s="3" t="inlineStr">
        <is>
          <t>Budget by category — edit only the yellow Budget cells</t>
        </is>
      </c>
      <c r="I10" s="22" t="inlineStr">
        <is>
          <t>Month setup &amp; verification</t>
        </is>
      </c>
      <c r="J10" s="19" t="n"/>
    </row>
    <row r="11" ht="20" customHeight="1">
      <c r="A11" s="23" t="inlineStr">
        <is>
          <t>Category</t>
        </is>
      </c>
      <c r="B11" s="23" t="inlineStr">
        <is>
          <t>Budget</t>
        </is>
      </c>
      <c r="C11" s="23" t="inlineStr">
        <is>
          <t>Gross Spend</t>
        </is>
      </c>
      <c r="D11" s="23" t="inlineStr">
        <is>
          <t>Reimbursed</t>
        </is>
      </c>
      <c r="E11" s="23" t="inlineStr">
        <is>
          <t>Net Spend</t>
        </is>
      </c>
      <c r="F11" s="23" t="inlineStr">
        <is>
          <t>Remaining</t>
        </is>
      </c>
      <c r="G11" s="23" t="inlineStr">
        <is>
          <t>% Used</t>
        </is>
      </c>
      <c r="I11" s="24" t="inlineStr">
        <is>
          <t>Expected income</t>
        </is>
      </c>
      <c r="J11" s="25" t="n">
        <v>4000</v>
      </c>
    </row>
    <row r="12" ht="20" customHeight="1">
      <c r="A12" s="19" t="inlineStr">
        <is>
          <t>Rent</t>
        </is>
      </c>
      <c r="B12" s="26" t="n">
        <v>1000</v>
      </c>
      <c r="C12" s="27">
        <f>-SUMIFS(tblTransactions[Amount],tblTransactions[Final Type],"Expense",tblTransactions[Final Category],$A12,tblTransactions[Applies To Month],$L$1)</f>
        <v/>
      </c>
      <c r="D12" s="27">
        <f>SUMIFS(tblTransactions[Amount],tblTransactions[Final Type],"Reimbursement Received",tblTransactions[Final Category],$A12,tblTransactions[Applies To Month],$L$1)</f>
        <v/>
      </c>
      <c r="E12" s="27">
        <f>C12-D12</f>
        <v/>
      </c>
      <c r="F12" s="27">
        <f>B12-E12</f>
        <v/>
      </c>
      <c r="G12" s="28">
        <f>IFERROR(E12/B12,0)</f>
        <v/>
      </c>
      <c r="I12" s="24" t="inlineStr">
        <is>
          <t>Sinking fund goal</t>
        </is>
      </c>
      <c r="J12" s="25" t="n">
        <v>300</v>
      </c>
    </row>
    <row r="13" ht="20" customHeight="1">
      <c r="A13" s="19" t="inlineStr">
        <is>
          <t>Groceries</t>
        </is>
      </c>
      <c r="B13" s="26" t="n">
        <v>500</v>
      </c>
      <c r="C13" s="27">
        <f>-SUMIFS(tblTransactions[Amount],tblTransactions[Final Type],"Expense",tblTransactions[Final Category],$A13,tblTransactions[Applies To Month],$L$1)</f>
        <v/>
      </c>
      <c r="D13" s="27">
        <f>SUMIFS(tblTransactions[Amount],tblTransactions[Final Type],"Reimbursement Received",tblTransactions[Final Category],$A13,tblTransactions[Applies To Month],$L$1)</f>
        <v/>
      </c>
      <c r="E13" s="27">
        <f>C13-D13</f>
        <v/>
      </c>
      <c r="F13" s="27">
        <f>B13-E13</f>
        <v/>
      </c>
      <c r="G13" s="28">
        <f>IFERROR(E13/B13,0)</f>
        <v/>
      </c>
      <c r="I13" s="24" t="inlineStr">
        <is>
          <t>Investment goal</t>
        </is>
      </c>
      <c r="J13" s="25" t="n">
        <v>500</v>
      </c>
    </row>
    <row r="14" ht="20" customHeight="1">
      <c r="A14" s="19" t="inlineStr">
        <is>
          <t>Restaurants</t>
        </is>
      </c>
      <c r="B14" s="26" t="n">
        <v>200</v>
      </c>
      <c r="C14" s="27">
        <f>-SUMIFS(tblTransactions[Amount],tblTransactions[Final Type],"Expense",tblTransactions[Final Category],$A14,tblTransactions[Applies To Month],$L$1)</f>
        <v/>
      </c>
      <c r="D14" s="27">
        <f>SUMIFS(tblTransactions[Amount],tblTransactions[Final Type],"Reimbursement Received",tblTransactions[Final Category],$A14,tblTransactions[Applies To Month],$L$1)</f>
        <v/>
      </c>
      <c r="E14" s="27">
        <f>C14-D14</f>
        <v/>
      </c>
      <c r="F14" s="27">
        <f>B14-E14</f>
        <v/>
      </c>
      <c r="G14" s="28">
        <f>IFERROR(E14/B14,0)</f>
        <v/>
      </c>
      <c r="I14" s="24" t="inlineStr">
        <is>
          <t>Transactions through</t>
        </is>
      </c>
      <c r="J14" s="29">
        <f>IFERROR(AGGREGATE(14,6,tblTransactions[Posted Date]/(tblTransactions[Applies To Month]=$L$1),1),"")</f>
        <v/>
      </c>
    </row>
    <row r="15" ht="20" customHeight="1">
      <c r="A15" s="19" t="inlineStr">
        <is>
          <t>Transportation</t>
        </is>
      </c>
      <c r="B15" s="26" t="n">
        <v>180</v>
      </c>
      <c r="C15" s="27">
        <f>-SUMIFS(tblTransactions[Amount],tblTransactions[Final Type],"Expense",tblTransactions[Final Category],$A15,tblTransactions[Applies To Month],$L$1)</f>
        <v/>
      </c>
      <c r="D15" s="27">
        <f>SUMIFS(tblTransactions[Amount],tblTransactions[Final Type],"Reimbursement Received",tblTransactions[Final Category],$A15,tblTransactions[Applies To Month],$L$1)</f>
        <v/>
      </c>
      <c r="E15" s="27">
        <f>C15-D15</f>
        <v/>
      </c>
      <c r="F15" s="27">
        <f>B15-E15</f>
        <v/>
      </c>
      <c r="G15" s="28">
        <f>IFERROR(E15/B15,0)</f>
        <v/>
      </c>
      <c r="I15" s="24" t="inlineStr">
        <is>
          <t>Transactions</t>
        </is>
      </c>
      <c r="J15" s="30">
        <f>COUNTIFS(tblTransactions[Applies To Month],$L$1,tblTransactions[Review Status],"&lt;&gt;Excluded")</f>
        <v/>
      </c>
    </row>
    <row r="16" ht="20" customHeight="1">
      <c r="A16" s="19" t="inlineStr">
        <is>
          <t>Utilities</t>
        </is>
      </c>
      <c r="B16" s="26" t="n">
        <v>220</v>
      </c>
      <c r="C16" s="27">
        <f>-SUMIFS(tblTransactions[Amount],tblTransactions[Final Type],"Expense",tblTransactions[Final Category],$A16,tblTransactions[Applies To Month],$L$1)</f>
        <v/>
      </c>
      <c r="D16" s="27">
        <f>SUMIFS(tblTransactions[Amount],tblTransactions[Final Type],"Reimbursement Received",tblTransactions[Final Category],$A16,tblTransactions[Applies To Month],$L$1)</f>
        <v/>
      </c>
      <c r="E16" s="27">
        <f>C16-D16</f>
        <v/>
      </c>
      <c r="F16" s="27">
        <f>B16-E16</f>
        <v/>
      </c>
      <c r="G16" s="28">
        <f>IFERROR(E16/B16,0)</f>
        <v/>
      </c>
      <c r="I16" s="24" t="inlineStr">
        <is>
          <t>Verified</t>
        </is>
      </c>
      <c r="J16" s="30">
        <f>COUNTIFS(tblTransactions[Applies To Month],$L$1,tblTransactions[Review Status],"Verified")</f>
        <v/>
      </c>
    </row>
    <row r="17" ht="20" customHeight="1">
      <c r="A17" s="19" t="inlineStr">
        <is>
          <t>Subscriptions</t>
        </is>
      </c>
      <c r="B17" s="26" t="n">
        <v>50</v>
      </c>
      <c r="C17" s="27">
        <f>-SUMIFS(tblTransactions[Amount],tblTransactions[Final Type],"Expense",tblTransactions[Final Category],$A17,tblTransactions[Applies To Month],$L$1)</f>
        <v/>
      </c>
      <c r="D17" s="27">
        <f>SUMIFS(tblTransactions[Amount],tblTransactions[Final Type],"Reimbursement Received",tblTransactions[Final Category],$A17,tblTransactions[Applies To Month],$L$1)</f>
        <v/>
      </c>
      <c r="E17" s="27">
        <f>C17-D17</f>
        <v/>
      </c>
      <c r="F17" s="27">
        <f>B17-E17</f>
        <v/>
      </c>
      <c r="G17" s="28">
        <f>IFERROR(E17/B17,0)</f>
        <v/>
      </c>
      <c r="I17" s="24" t="inlineStr">
        <is>
          <t>Needs review</t>
        </is>
      </c>
      <c r="J17" s="30">
        <f>J15-J16</f>
        <v/>
      </c>
    </row>
    <row r="18" ht="20" customHeight="1">
      <c r="A18" s="19" t="inlineStr">
        <is>
          <t>Personal</t>
        </is>
      </c>
      <c r="B18" s="26" t="n">
        <v>250</v>
      </c>
      <c r="C18" s="27">
        <f>-SUMIFS(tblTransactions[Amount],tblTransactions[Final Type],"Expense",tblTransactions[Final Category],$A18,tblTransactions[Applies To Month],$L$1)</f>
        <v/>
      </c>
      <c r="D18" s="27">
        <f>SUMIFS(tblTransactions[Amount],tblTransactions[Final Type],"Reimbursement Received",tblTransactions[Final Category],$A18,tblTransactions[Applies To Month],$L$1)</f>
        <v/>
      </c>
      <c r="E18" s="27">
        <f>C18-D18</f>
        <v/>
      </c>
      <c r="F18" s="27">
        <f>B18-E18</f>
        <v/>
      </c>
      <c r="G18" s="28">
        <f>IFERROR(E18/B18,0)</f>
        <v/>
      </c>
      <c r="I18" s="24" t="inlineStr">
        <is>
          <t>Statement difference</t>
        </is>
      </c>
      <c r="J18" s="31">
        <f>SUMPRODUCT(ABS(F24:F26))</f>
        <v/>
      </c>
    </row>
    <row r="19" ht="20" customHeight="1">
      <c r="A19" s="32" t="inlineStr">
        <is>
          <t>TOTAL</t>
        </is>
      </c>
      <c r="B19" s="33">
        <f>SUM(B12:B18)</f>
        <v/>
      </c>
      <c r="C19" s="33">
        <f>SUM(C12:C18)</f>
        <v/>
      </c>
      <c r="D19" s="33">
        <f>SUM(D12:D18)</f>
        <v/>
      </c>
      <c r="E19" s="33">
        <f>SUM(E12:E18)</f>
        <v/>
      </c>
      <c r="F19" s="33">
        <f>SUM(F12:F18)</f>
        <v/>
      </c>
      <c r="G19" s="34">
        <f>IFERROR(E19/B19,0)</f>
        <v/>
      </c>
      <c r="I19" s="35" t="inlineStr">
        <is>
          <t>Month status</t>
        </is>
      </c>
      <c r="J19" s="36">
        <f>IF(AND(J17=0,J18&lt;0.01),"RECONCILED","NEEDS REVIEW")</f>
        <v/>
      </c>
    </row>
    <row r="20" ht="20" customHeight="1"/>
    <row r="21" ht="20" customHeight="1"/>
    <row r="22" ht="20" customHeight="1">
      <c r="A22" s="3" t="inlineStr">
        <is>
          <t>Bank statement check — edit yellow opening and statement balances</t>
        </is>
      </c>
      <c r="I22" s="22" t="inlineStr">
        <is>
          <t>How the month adds up</t>
        </is>
      </c>
      <c r="J22" s="19" t="n"/>
    </row>
    <row r="23" ht="20" customHeight="1">
      <c r="A23" s="23" t="inlineStr">
        <is>
          <t>Account</t>
        </is>
      </c>
      <c r="B23" s="23" t="inlineStr">
        <is>
          <t>Opening Balance</t>
        </is>
      </c>
      <c r="C23" s="23" t="inlineStr">
        <is>
          <t>Imported Activity</t>
        </is>
      </c>
      <c r="D23" s="23" t="inlineStr">
        <is>
          <t>Calculated Ending</t>
        </is>
      </c>
      <c r="E23" s="23" t="inlineStr">
        <is>
          <t>Statement Ending</t>
        </is>
      </c>
      <c r="F23" s="23" t="inlineStr">
        <is>
          <t>Difference</t>
        </is>
      </c>
      <c r="G23" s="23" t="inlineStr">
        <is>
          <t>Status</t>
        </is>
      </c>
      <c r="I23" s="37" t="inlineStr">
        <is>
          <t>Income received</t>
        </is>
      </c>
      <c r="J23" s="38">
        <f>SUMIFS(tblTransactions[Amount],tblTransactions[Final Type],"Income",tblTransactions[Applies To Month],$L$1)</f>
        <v/>
      </c>
    </row>
    <row r="24" ht="20" customHeight="1">
      <c r="A24" s="19" t="inlineStr">
        <is>
          <t>Chequing</t>
        </is>
      </c>
      <c r="B24" s="39" t="n">
        <v>4255</v>
      </c>
      <c r="C24" s="40">
        <f>SUMIFS(tblTransactions[Amount],tblTransactions[Account],$A24,tblTransactions[Posted Date],"&gt;="&amp;$L$1,tblTransactions[Posted Date],"&lt;"&amp;EDATE($L$1,1))</f>
        <v/>
      </c>
      <c r="D24" s="40">
        <f>B24+C24</f>
        <v/>
      </c>
      <c r="E24" s="39" t="n">
        <v>5915</v>
      </c>
      <c r="F24" s="40">
        <f>E24-D24</f>
        <v/>
      </c>
      <c r="G24" s="37">
        <f>IF(ABS(F24)&lt;0.01,"Matched","Check")</f>
        <v/>
      </c>
      <c r="I24" s="37" t="inlineStr">
        <is>
          <t>Gross spending</t>
        </is>
      </c>
      <c r="J24" s="38">
        <f>-SUMIFS(tblTransactions[Amount],tblTransactions[Final Type],"Expense",tblTransactions[Applies To Month],$L$1)</f>
        <v/>
      </c>
    </row>
    <row r="25" ht="20" customHeight="1">
      <c r="A25" s="19" t="inlineStr">
        <is>
          <t>Savings</t>
        </is>
      </c>
      <c r="B25" s="39" t="n">
        <v>2000</v>
      </c>
      <c r="C25" s="40">
        <f>SUMIFS(tblTransactions[Amount],tblTransactions[Account],$A25,tblTransactions[Posted Date],"&gt;="&amp;$L$1,tblTransactions[Posted Date],"&lt;"&amp;EDATE($L$1,1))</f>
        <v/>
      </c>
      <c r="D25" s="40">
        <f>B25+C25</f>
        <v/>
      </c>
      <c r="E25" s="39" t="n">
        <v>2300</v>
      </c>
      <c r="F25" s="40">
        <f>E25-D25</f>
        <v/>
      </c>
      <c r="G25" s="37">
        <f>IF(ABS(F25)&lt;0.01,"Matched","Check")</f>
        <v/>
      </c>
      <c r="I25" s="37" t="inlineStr">
        <is>
          <t>Reimbursements</t>
        </is>
      </c>
      <c r="J25" s="38">
        <f>SUMIFS(tblTransactions[Amount],tblTransactions[Final Type],"Reimbursement Received",tblTransactions[Applies To Month],$L$1)</f>
        <v/>
      </c>
    </row>
    <row r="26" ht="20" customHeight="1">
      <c r="A26" s="19" t="inlineStr">
        <is>
          <t>Visa</t>
        </is>
      </c>
      <c r="B26" s="39" t="n">
        <v>-625</v>
      </c>
      <c r="C26" s="40">
        <f>SUMIFS(tblTransactions[Amount],tblTransactions[Account],$A26,tblTransactions[Posted Date],"&gt;="&amp;$L$1,tblTransactions[Posted Date],"&lt;"&amp;EDATE($L$1,1))</f>
        <v/>
      </c>
      <c r="D26" s="40">
        <f>B26+C26</f>
        <v/>
      </c>
      <c r="E26" s="39" t="n">
        <v>-708</v>
      </c>
      <c r="F26" s="40">
        <f>E26-D26</f>
        <v/>
      </c>
      <c r="G26" s="37">
        <f>IF(ABS(F26)&lt;0.01,"Matched","Check")</f>
        <v/>
      </c>
      <c r="I26" s="37" t="inlineStr">
        <is>
          <t>Net spending</t>
        </is>
      </c>
      <c r="J26" s="38">
        <f>J24-J25</f>
        <v/>
      </c>
    </row>
    <row r="27" ht="20" customHeight="1">
      <c r="I27" s="37" t="inlineStr">
        <is>
          <t>Sinking funds</t>
        </is>
      </c>
      <c r="J27" s="38">
        <f>-SUMIFS(tblTransactions[Amount],tblTransactions[Final Type],"Sinking Fund Contribution",tblTransactions[Applies To Month],$L$1)</f>
        <v/>
      </c>
    </row>
    <row r="28" ht="20" customHeight="1">
      <c r="I28" s="37" t="inlineStr">
        <is>
          <t>Investments</t>
        </is>
      </c>
      <c r="J28" s="38">
        <f>-SUMIFS(tblTransactions[Amount],tblTransactions[Final Type],"Investment Contribution",tblTransactions[Applies To Month],$L$1)</f>
        <v/>
      </c>
    </row>
    <row r="29" ht="20" customHeight="1">
      <c r="I29" s="35" t="inlineStr">
        <is>
          <t>Unallocated income</t>
        </is>
      </c>
      <c r="J29" s="41">
        <f>J23-J26-J27-J28</f>
        <v/>
      </c>
    </row>
    <row r="30" ht="20" customHeight="1"/>
    <row r="31" ht="28" customHeight="1">
      <c r="A31" s="42" t="inlineStr">
        <is>
          <t>Reminder: contributions are allocations, not spending. Internal transfers are included for bank reconciliation but excluded from the budget.</t>
        </is>
      </c>
    </row>
  </sheetData>
  <autoFilter ref="A11:G19"/>
  <mergeCells count="23">
    <mergeCell ref="E6:F7"/>
    <mergeCell ref="G6:H7"/>
    <mergeCell ref="A22:G22"/>
    <mergeCell ref="C5:D5"/>
    <mergeCell ref="E5:F5"/>
    <mergeCell ref="G8:H8"/>
    <mergeCell ref="E8:F8"/>
    <mergeCell ref="A10:G10"/>
    <mergeCell ref="F3:J3"/>
    <mergeCell ref="A31:J31"/>
    <mergeCell ref="I22:J22"/>
    <mergeCell ref="A1:J1"/>
    <mergeCell ref="C6:D7"/>
    <mergeCell ref="I6:J7"/>
    <mergeCell ref="A5:B5"/>
    <mergeCell ref="G5:H5"/>
    <mergeCell ref="I5:J5"/>
    <mergeCell ref="I8:J8"/>
    <mergeCell ref="A8:B8"/>
    <mergeCell ref="C8:D8"/>
    <mergeCell ref="I10:J10"/>
    <mergeCell ref="A6:B7"/>
    <mergeCell ref="A2:J2"/>
  </mergeCells>
  <conditionalFormatting sqref="F12:F19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G12:G19">
    <cfRule type="dataBar" priority="3">
      <dataBar>
        <cfvo type="num" val="0"/>
        <cfvo type="num" val="1"/>
        <color rgb="005B9BD5"/>
      </dataBar>
    </cfRule>
  </conditionalFormatting>
  <conditionalFormatting sqref="J19">
    <cfRule type="expression" priority="4" dxfId="2">
      <formula>J19="RECONCILED"</formula>
    </cfRule>
    <cfRule type="expression" priority="5" dxfId="3">
      <formula>J19&lt;&gt;"RECONCILED"</formula>
    </cfRule>
  </conditionalFormatting>
  <conditionalFormatting sqref="F24:F26">
    <cfRule type="expression" priority="6" dxfId="1">
      <formula>ABS(F24)&lt;0.01</formula>
    </cfRule>
    <cfRule type="expression" priority="7" dxfId="4">
      <formula>ABS(F24)&gt;=0.01</formula>
    </cfRule>
  </conditionalFormatting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</hyperlinks>
  <pageMargins left="0.75" right="0.75" top="1" bottom="1" header="0.5" footer="0.5"/>
  <pageSetup orientation="landscape" fitToHeight="1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L3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7" customWidth="1" min="3" max="3"/>
    <col width="17" customWidth="1" min="4" max="4"/>
    <col width="17" customWidth="1" min="5" max="5"/>
    <col width="17" customWidth="1" min="6" max="6"/>
    <col width="13" customWidth="1" min="7" max="7"/>
    <col width="3" customWidth="1" min="8" max="8"/>
    <col width="23" customWidth="1" min="9" max="9"/>
    <col width="20" customWidth="1" min="10" max="10"/>
    <col hidden="1" width="13" customWidth="1" min="12" max="12"/>
  </cols>
  <sheetData>
    <row r="1" ht="32" customHeight="1">
      <c r="A1" s="13" t="inlineStr">
        <is>
          <t>September 2026 — Monthly Budget Check</t>
        </is>
      </c>
      <c r="L1" s="14" t="n">
        <v>46266</v>
      </c>
    </row>
    <row r="2" ht="30" customHeight="1">
      <c r="A2" s="15" t="inlineStr">
        <is>
          <t>A simple answer to: what came in, what I spent, what I set aside, what remains, and whether the month matches the bank.</t>
        </is>
      </c>
    </row>
    <row r="3" ht="20" customHeight="1">
      <c r="A3" s="16" t="inlineStr">
        <is>
          <t>← Start Here</t>
        </is>
      </c>
      <c r="B3" s="16" t="inlineStr">
        <is>
          <t>October</t>
        </is>
      </c>
      <c r="C3" s="16" t="inlineStr">
        <is>
          <t>Transactions</t>
        </is>
      </c>
      <c r="D3" s="16" t="inlineStr">
        <is>
          <t>Review Log</t>
        </is>
      </c>
      <c r="F3" s="17" t="inlineStr">
        <is>
          <t>Yellow = editable   |   Blue = calculated</t>
        </is>
      </c>
    </row>
    <row r="4" ht="20" customHeight="1"/>
    <row r="5" ht="20" customHeight="1">
      <c r="A5" s="18" t="inlineStr">
        <is>
          <t>Income Received</t>
        </is>
      </c>
      <c r="B5" s="19" t="n"/>
      <c r="C5" s="18" t="inlineStr">
        <is>
          <t>Net Spending</t>
        </is>
      </c>
      <c r="D5" s="19" t="n"/>
      <c r="E5" s="18" t="inlineStr">
        <is>
          <t>Budget Remaining</t>
        </is>
      </c>
      <c r="F5" s="19" t="n"/>
      <c r="G5" s="18" t="inlineStr">
        <is>
          <t>Goals Funded</t>
        </is>
      </c>
      <c r="H5" s="19" t="n"/>
      <c r="I5" s="18" t="inlineStr">
        <is>
          <t>Unallocated Income</t>
        </is>
      </c>
      <c r="J5" s="19" t="n"/>
    </row>
    <row r="6" ht="20" customHeight="1">
      <c r="A6" s="20">
        <f>J23</f>
        <v/>
      </c>
      <c r="B6" s="19" t="n"/>
      <c r="C6" s="20">
        <f>J26</f>
        <v/>
      </c>
      <c r="D6" s="19" t="n"/>
      <c r="E6" s="20">
        <f>SUM(F12:F18)</f>
        <v/>
      </c>
      <c r="F6" s="19" t="n"/>
      <c r="G6" s="20">
        <f>J27+J28</f>
        <v/>
      </c>
      <c r="H6" s="19" t="n"/>
      <c r="I6" s="20">
        <f>J29</f>
        <v/>
      </c>
      <c r="J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</row>
    <row r="8" ht="20" customHeight="1">
      <c r="A8" s="21">
        <f>"of "&amp;TEXT(J11,"$#,##0")&amp;" expected"</f>
        <v/>
      </c>
      <c r="B8" s="19" t="n"/>
      <c r="C8" s="21">
        <f>"Gross "&amp;TEXT(SUM(C12:C18),"$#,##0")&amp;" less "&amp;TEXT(SUM(D12:D18),"$#,##0")</f>
        <v/>
      </c>
      <c r="D8" s="19" t="n"/>
      <c r="E8" s="21">
        <f>"of "&amp;TEXT(SUM(B12:B18),"$#,##0")&amp;" category budget"</f>
        <v/>
      </c>
      <c r="F8" s="19" t="n"/>
      <c r="G8" s="21">
        <f>"Goal "&amp;TEXT(J12+J13,"$#,##0")</f>
        <v/>
      </c>
      <c r="H8" s="19" t="n"/>
      <c r="I8" s="21" t="inlineStr">
        <is>
          <t>After spending and goal contributions</t>
        </is>
      </c>
      <c r="J8" s="19" t="n"/>
    </row>
    <row r="9" ht="20" customHeight="1"/>
    <row r="10" ht="20" customHeight="1">
      <c r="A10" s="3" t="inlineStr">
        <is>
          <t>Budget by category — edit only the yellow Budget cells</t>
        </is>
      </c>
      <c r="I10" s="22" t="inlineStr">
        <is>
          <t>Month setup &amp; verification</t>
        </is>
      </c>
      <c r="J10" s="19" t="n"/>
    </row>
    <row r="11" ht="20" customHeight="1">
      <c r="A11" s="23" t="inlineStr">
        <is>
          <t>Category</t>
        </is>
      </c>
      <c r="B11" s="23" t="inlineStr">
        <is>
          <t>Budget</t>
        </is>
      </c>
      <c r="C11" s="23" t="inlineStr">
        <is>
          <t>Gross Spend</t>
        </is>
      </c>
      <c r="D11" s="23" t="inlineStr">
        <is>
          <t>Reimbursed</t>
        </is>
      </c>
      <c r="E11" s="23" t="inlineStr">
        <is>
          <t>Net Spend</t>
        </is>
      </c>
      <c r="F11" s="23" t="inlineStr">
        <is>
          <t>Remaining</t>
        </is>
      </c>
      <c r="G11" s="23" t="inlineStr">
        <is>
          <t>% Used</t>
        </is>
      </c>
      <c r="I11" s="24" t="inlineStr">
        <is>
          <t>Expected income</t>
        </is>
      </c>
      <c r="J11" s="25" t="n">
        <v>4000</v>
      </c>
    </row>
    <row r="12" ht="20" customHeight="1">
      <c r="A12" s="19" t="inlineStr">
        <is>
          <t>Rent</t>
        </is>
      </c>
      <c r="B12" s="26" t="n">
        <v>1000</v>
      </c>
      <c r="C12" s="27">
        <f>-SUMIFS(tblTransactions[Amount],tblTransactions[Final Type],"Expense",tblTransactions[Final Category],$A12,tblTransactions[Applies To Month],$L$1)</f>
        <v/>
      </c>
      <c r="D12" s="27">
        <f>SUMIFS(tblTransactions[Amount],tblTransactions[Final Type],"Reimbursement Received",tblTransactions[Final Category],$A12,tblTransactions[Applies To Month],$L$1)</f>
        <v/>
      </c>
      <c r="E12" s="27">
        <f>C12-D12</f>
        <v/>
      </c>
      <c r="F12" s="27">
        <f>B12-E12</f>
        <v/>
      </c>
      <c r="G12" s="28">
        <f>IFERROR(E12/B12,0)</f>
        <v/>
      </c>
      <c r="I12" s="24" t="inlineStr">
        <is>
          <t>Sinking fund goal</t>
        </is>
      </c>
      <c r="J12" s="25" t="n">
        <v>200</v>
      </c>
    </row>
    <row r="13" ht="20" customHeight="1">
      <c r="A13" s="19" t="inlineStr">
        <is>
          <t>Groceries</t>
        </is>
      </c>
      <c r="B13" s="26" t="n">
        <v>500</v>
      </c>
      <c r="C13" s="27">
        <f>-SUMIFS(tblTransactions[Amount],tblTransactions[Final Type],"Expense",tblTransactions[Final Category],$A13,tblTransactions[Applies To Month],$L$1)</f>
        <v/>
      </c>
      <c r="D13" s="27">
        <f>SUMIFS(tblTransactions[Amount],tblTransactions[Final Type],"Reimbursement Received",tblTransactions[Final Category],$A13,tblTransactions[Applies To Month],$L$1)</f>
        <v/>
      </c>
      <c r="E13" s="27">
        <f>C13-D13</f>
        <v/>
      </c>
      <c r="F13" s="27">
        <f>B13-E13</f>
        <v/>
      </c>
      <c r="G13" s="28">
        <f>IFERROR(E13/B13,0)</f>
        <v/>
      </c>
      <c r="I13" s="24" t="inlineStr">
        <is>
          <t>Investment goal</t>
        </is>
      </c>
      <c r="J13" s="25" t="n">
        <v>400</v>
      </c>
    </row>
    <row r="14" ht="20" customHeight="1">
      <c r="A14" s="19" t="inlineStr">
        <is>
          <t>Restaurants</t>
        </is>
      </c>
      <c r="B14" s="26" t="n">
        <v>180</v>
      </c>
      <c r="C14" s="27">
        <f>-SUMIFS(tblTransactions[Amount],tblTransactions[Final Type],"Expense",tblTransactions[Final Category],$A14,tblTransactions[Applies To Month],$L$1)</f>
        <v/>
      </c>
      <c r="D14" s="27">
        <f>SUMIFS(tblTransactions[Amount],tblTransactions[Final Type],"Reimbursement Received",tblTransactions[Final Category],$A14,tblTransactions[Applies To Month],$L$1)</f>
        <v/>
      </c>
      <c r="E14" s="27">
        <f>C14-D14</f>
        <v/>
      </c>
      <c r="F14" s="27">
        <f>B14-E14</f>
        <v/>
      </c>
      <c r="G14" s="28">
        <f>IFERROR(E14/B14,0)</f>
        <v/>
      </c>
      <c r="I14" s="24" t="inlineStr">
        <is>
          <t>Transactions through</t>
        </is>
      </c>
      <c r="J14" s="29">
        <f>IFERROR(AGGREGATE(14,6,tblTransactions[Posted Date]/(tblTransactions[Applies To Month]=$L$1),1),"")</f>
        <v/>
      </c>
    </row>
    <row r="15" ht="20" customHeight="1">
      <c r="A15" s="19" t="inlineStr">
        <is>
          <t>Transportation</t>
        </is>
      </c>
      <c r="B15" s="26" t="n">
        <v>180</v>
      </c>
      <c r="C15" s="27">
        <f>-SUMIFS(tblTransactions[Amount],tblTransactions[Final Type],"Expense",tblTransactions[Final Category],$A15,tblTransactions[Applies To Month],$L$1)</f>
        <v/>
      </c>
      <c r="D15" s="27">
        <f>SUMIFS(tblTransactions[Amount],tblTransactions[Final Type],"Reimbursement Received",tblTransactions[Final Category],$A15,tblTransactions[Applies To Month],$L$1)</f>
        <v/>
      </c>
      <c r="E15" s="27">
        <f>C15-D15</f>
        <v/>
      </c>
      <c r="F15" s="27">
        <f>B15-E15</f>
        <v/>
      </c>
      <c r="G15" s="28">
        <f>IFERROR(E15/B15,0)</f>
        <v/>
      </c>
      <c r="I15" s="24" t="inlineStr">
        <is>
          <t>Transactions</t>
        </is>
      </c>
      <c r="J15" s="30">
        <f>COUNTIFS(tblTransactions[Applies To Month],$L$1,tblTransactions[Review Status],"&lt;&gt;Excluded")</f>
        <v/>
      </c>
    </row>
    <row r="16" ht="20" customHeight="1">
      <c r="A16" s="19" t="inlineStr">
        <is>
          <t>Utilities</t>
        </is>
      </c>
      <c r="B16" s="26" t="n">
        <v>220</v>
      </c>
      <c r="C16" s="27">
        <f>-SUMIFS(tblTransactions[Amount],tblTransactions[Final Type],"Expense",tblTransactions[Final Category],$A16,tblTransactions[Applies To Month],$L$1)</f>
        <v/>
      </c>
      <c r="D16" s="27">
        <f>SUMIFS(tblTransactions[Amount],tblTransactions[Final Type],"Reimbursement Received",tblTransactions[Final Category],$A16,tblTransactions[Applies To Month],$L$1)</f>
        <v/>
      </c>
      <c r="E16" s="27">
        <f>C16-D16</f>
        <v/>
      </c>
      <c r="F16" s="27">
        <f>B16-E16</f>
        <v/>
      </c>
      <c r="G16" s="28">
        <f>IFERROR(E16/B16,0)</f>
        <v/>
      </c>
      <c r="I16" s="24" t="inlineStr">
        <is>
          <t>Verified</t>
        </is>
      </c>
      <c r="J16" s="30">
        <f>COUNTIFS(tblTransactions[Applies To Month],$L$1,tblTransactions[Review Status],"Verified")</f>
        <v/>
      </c>
    </row>
    <row r="17" ht="20" customHeight="1">
      <c r="A17" s="19" t="inlineStr">
        <is>
          <t>Subscriptions</t>
        </is>
      </c>
      <c r="B17" s="26" t="n">
        <v>50</v>
      </c>
      <c r="C17" s="27">
        <f>-SUMIFS(tblTransactions[Amount],tblTransactions[Final Type],"Expense",tblTransactions[Final Category],$A17,tblTransactions[Applies To Month],$L$1)</f>
        <v/>
      </c>
      <c r="D17" s="27">
        <f>SUMIFS(tblTransactions[Amount],tblTransactions[Final Type],"Reimbursement Received",tblTransactions[Final Category],$A17,tblTransactions[Applies To Month],$L$1)</f>
        <v/>
      </c>
      <c r="E17" s="27">
        <f>C17-D17</f>
        <v/>
      </c>
      <c r="F17" s="27">
        <f>B17-E17</f>
        <v/>
      </c>
      <c r="G17" s="28">
        <f>IFERROR(E17/B17,0)</f>
        <v/>
      </c>
      <c r="I17" s="24" t="inlineStr">
        <is>
          <t>Needs review</t>
        </is>
      </c>
      <c r="J17" s="30">
        <f>J15-J16</f>
        <v/>
      </c>
    </row>
    <row r="18" ht="20" customHeight="1">
      <c r="A18" s="19" t="inlineStr">
        <is>
          <t>Personal</t>
        </is>
      </c>
      <c r="B18" s="26" t="n">
        <v>250</v>
      </c>
      <c r="C18" s="27">
        <f>-SUMIFS(tblTransactions[Amount],tblTransactions[Final Type],"Expense",tblTransactions[Final Category],$A18,tblTransactions[Applies To Month],$L$1)</f>
        <v/>
      </c>
      <c r="D18" s="27">
        <f>SUMIFS(tblTransactions[Amount],tblTransactions[Final Type],"Reimbursement Received",tblTransactions[Final Category],$A18,tblTransactions[Applies To Month],$L$1)</f>
        <v/>
      </c>
      <c r="E18" s="27">
        <f>C18-D18</f>
        <v/>
      </c>
      <c r="F18" s="27">
        <f>B18-E18</f>
        <v/>
      </c>
      <c r="G18" s="28">
        <f>IFERROR(E18/B18,0)</f>
        <v/>
      </c>
      <c r="I18" s="24" t="inlineStr">
        <is>
          <t>Statement difference</t>
        </is>
      </c>
      <c r="J18" s="31">
        <f>SUMPRODUCT(ABS(F24:F26))</f>
        <v/>
      </c>
    </row>
    <row r="19" ht="20" customHeight="1">
      <c r="A19" s="32" t="inlineStr">
        <is>
          <t>TOTAL</t>
        </is>
      </c>
      <c r="B19" s="33">
        <f>SUM(B12:B18)</f>
        <v/>
      </c>
      <c r="C19" s="33">
        <f>SUM(C12:C18)</f>
        <v/>
      </c>
      <c r="D19" s="33">
        <f>SUM(D12:D18)</f>
        <v/>
      </c>
      <c r="E19" s="33">
        <f>SUM(E12:E18)</f>
        <v/>
      </c>
      <c r="F19" s="33">
        <f>SUM(F12:F18)</f>
        <v/>
      </c>
      <c r="G19" s="34">
        <f>IFERROR(E19/B19,0)</f>
        <v/>
      </c>
      <c r="I19" s="35" t="inlineStr">
        <is>
          <t>Month status</t>
        </is>
      </c>
      <c r="J19" s="36">
        <f>IF(AND(J17=0,J18&lt;0.01),"RECONCILED","NEEDS REVIEW")</f>
        <v/>
      </c>
    </row>
    <row r="20" ht="20" customHeight="1"/>
    <row r="21" ht="20" customHeight="1"/>
    <row r="22" ht="20" customHeight="1">
      <c r="A22" s="3" t="inlineStr">
        <is>
          <t>Bank statement check — edit yellow opening and statement balances</t>
        </is>
      </c>
      <c r="I22" s="22" t="inlineStr">
        <is>
          <t>How the month adds up</t>
        </is>
      </c>
      <c r="J22" s="19" t="n"/>
    </row>
    <row r="23" ht="20" customHeight="1">
      <c r="A23" s="23" t="inlineStr">
        <is>
          <t>Account</t>
        </is>
      </c>
      <c r="B23" s="23" t="inlineStr">
        <is>
          <t>Opening Balance</t>
        </is>
      </c>
      <c r="C23" s="23" t="inlineStr">
        <is>
          <t>Imported Activity</t>
        </is>
      </c>
      <c r="D23" s="23" t="inlineStr">
        <is>
          <t>Calculated Ending</t>
        </is>
      </c>
      <c r="E23" s="23" t="inlineStr">
        <is>
          <t>Statement Ending</t>
        </is>
      </c>
      <c r="F23" s="23" t="inlineStr">
        <is>
          <t>Difference</t>
        </is>
      </c>
      <c r="G23" s="23" t="inlineStr">
        <is>
          <t>Status</t>
        </is>
      </c>
      <c r="I23" s="37" t="inlineStr">
        <is>
          <t>Income received</t>
        </is>
      </c>
      <c r="J23" s="38">
        <f>SUMIFS(tblTransactions[Amount],tblTransactions[Final Type],"Income",tblTransactions[Applies To Month],$L$1)</f>
        <v/>
      </c>
    </row>
    <row r="24" ht="20" customHeight="1">
      <c r="A24" s="19" t="inlineStr">
        <is>
          <t>Chequing</t>
        </is>
      </c>
      <c r="B24" s="39" t="n">
        <v>2500</v>
      </c>
      <c r="C24" s="40">
        <f>SUMIFS(tblTransactions[Amount],tblTransactions[Account],$A24,tblTransactions[Posted Date],"&gt;="&amp;$L$1,tblTransactions[Posted Date],"&lt;"&amp;EDATE($L$1,1))</f>
        <v/>
      </c>
      <c r="D24" s="40">
        <f>B24+C24</f>
        <v/>
      </c>
      <c r="E24" s="39" t="n">
        <v>4255</v>
      </c>
      <c r="F24" s="40">
        <f>E24-D24</f>
        <v/>
      </c>
      <c r="G24" s="37">
        <f>IF(ABS(F24)&lt;0.01,"Matched","Check")</f>
        <v/>
      </c>
      <c r="I24" s="37" t="inlineStr">
        <is>
          <t>Gross spending</t>
        </is>
      </c>
      <c r="J24" s="38">
        <f>-SUMIFS(tblTransactions[Amount],tblTransactions[Final Type],"Expense",tblTransactions[Applies To Month],$L$1)</f>
        <v/>
      </c>
    </row>
    <row r="25" ht="20" customHeight="1">
      <c r="A25" s="19" t="inlineStr">
        <is>
          <t>Savings</t>
        </is>
      </c>
      <c r="B25" s="39" t="n">
        <v>1800</v>
      </c>
      <c r="C25" s="40">
        <f>SUMIFS(tblTransactions[Amount],tblTransactions[Account],$A25,tblTransactions[Posted Date],"&gt;="&amp;$L$1,tblTransactions[Posted Date],"&lt;"&amp;EDATE($L$1,1))</f>
        <v/>
      </c>
      <c r="D25" s="40">
        <f>B25+C25</f>
        <v/>
      </c>
      <c r="E25" s="39" t="n">
        <v>2000</v>
      </c>
      <c r="F25" s="40">
        <f>E25-D25</f>
        <v/>
      </c>
      <c r="G25" s="37">
        <f>IF(ABS(F25)&lt;0.01,"Matched","Check")</f>
        <v/>
      </c>
      <c r="I25" s="37" t="inlineStr">
        <is>
          <t>Reimbursements</t>
        </is>
      </c>
      <c r="J25" s="38">
        <f>SUMIFS(tblTransactions[Amount],tblTransactions[Final Type],"Reimbursement Received",tblTransactions[Applies To Month],$L$1)</f>
        <v/>
      </c>
    </row>
    <row r="26" ht="20" customHeight="1">
      <c r="A26" s="19" t="inlineStr">
        <is>
          <t>Visa</t>
        </is>
      </c>
      <c r="B26" s="39" t="n">
        <v>-250</v>
      </c>
      <c r="C26" s="40">
        <f>SUMIFS(tblTransactions[Amount],tblTransactions[Account],$A26,tblTransactions[Posted Date],"&gt;="&amp;$L$1,tblTransactions[Posted Date],"&lt;"&amp;EDATE($L$1,1))</f>
        <v/>
      </c>
      <c r="D26" s="40">
        <f>B26+C26</f>
        <v/>
      </c>
      <c r="E26" s="39" t="n">
        <v>-625</v>
      </c>
      <c r="F26" s="40">
        <f>E26-D26</f>
        <v/>
      </c>
      <c r="G26" s="37">
        <f>IF(ABS(F26)&lt;0.01,"Matched","Check")</f>
        <v/>
      </c>
      <c r="I26" s="37" t="inlineStr">
        <is>
          <t>Net spending</t>
        </is>
      </c>
      <c r="J26" s="38">
        <f>J24-J25</f>
        <v/>
      </c>
    </row>
    <row r="27" ht="20" customHeight="1">
      <c r="I27" s="37" t="inlineStr">
        <is>
          <t>Sinking funds</t>
        </is>
      </c>
      <c r="J27" s="38">
        <f>-SUMIFS(tblTransactions[Amount],tblTransactions[Final Type],"Sinking Fund Contribution",tblTransactions[Applies To Month],$L$1)</f>
        <v/>
      </c>
    </row>
    <row r="28" ht="20" customHeight="1">
      <c r="I28" s="37" t="inlineStr">
        <is>
          <t>Investments</t>
        </is>
      </c>
      <c r="J28" s="38">
        <f>-SUMIFS(tblTransactions[Amount],tblTransactions[Final Type],"Investment Contribution",tblTransactions[Applies To Month],$L$1)</f>
        <v/>
      </c>
    </row>
    <row r="29" ht="20" customHeight="1">
      <c r="I29" s="35" t="inlineStr">
        <is>
          <t>Unallocated income</t>
        </is>
      </c>
      <c r="J29" s="41">
        <f>J23-J26-J27-J28</f>
        <v/>
      </c>
    </row>
    <row r="30" ht="20" customHeight="1"/>
    <row r="31" ht="28" customHeight="1">
      <c r="A31" s="42" t="inlineStr">
        <is>
          <t>Reminder: contributions are allocations, not spending. Internal transfers are included for bank reconciliation but excluded from the budget.</t>
        </is>
      </c>
    </row>
  </sheetData>
  <autoFilter ref="A11:G19"/>
  <mergeCells count="23">
    <mergeCell ref="E6:F7"/>
    <mergeCell ref="G6:H7"/>
    <mergeCell ref="A22:G22"/>
    <mergeCell ref="C5:D5"/>
    <mergeCell ref="E5:F5"/>
    <mergeCell ref="G8:H8"/>
    <mergeCell ref="E8:F8"/>
    <mergeCell ref="A10:G10"/>
    <mergeCell ref="F3:J3"/>
    <mergeCell ref="A31:J31"/>
    <mergeCell ref="I22:J22"/>
    <mergeCell ref="A1:J1"/>
    <mergeCell ref="C6:D7"/>
    <mergeCell ref="I6:J7"/>
    <mergeCell ref="A5:B5"/>
    <mergeCell ref="G5:H5"/>
    <mergeCell ref="I5:J5"/>
    <mergeCell ref="I8:J8"/>
    <mergeCell ref="A8:B8"/>
    <mergeCell ref="C8:D8"/>
    <mergeCell ref="I10:J10"/>
    <mergeCell ref="A6:B7"/>
    <mergeCell ref="A2:J2"/>
  </mergeCells>
  <conditionalFormatting sqref="F12:F19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G12:G19">
    <cfRule type="dataBar" priority="3">
      <dataBar>
        <cfvo type="num" val="0"/>
        <cfvo type="num" val="1"/>
        <color rgb="005B9BD5"/>
      </dataBar>
    </cfRule>
  </conditionalFormatting>
  <conditionalFormatting sqref="J19">
    <cfRule type="expression" priority="4" dxfId="2">
      <formula>J19="RECONCILED"</formula>
    </cfRule>
    <cfRule type="expression" priority="5" dxfId="3">
      <formula>J19&lt;&gt;"RECONCILED"</formula>
    </cfRule>
  </conditionalFormatting>
  <conditionalFormatting sqref="F24:F26">
    <cfRule type="expression" priority="6" dxfId="1">
      <formula>ABS(F24)&lt;0.01</formula>
    </cfRule>
    <cfRule type="expression" priority="7" dxfId="4">
      <formula>ABS(F24)&gt;=0.01</formula>
    </cfRule>
  </conditionalFormatting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</hyperlinks>
  <pageMargins left="0.75" right="0.75" top="1" bottom="1" header="0.5" footer="0.5"/>
  <pageSetup orientation="landscape" fitToHeight="1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7F8C8D"/>
    <outlinePr summaryBelow="1" summaryRight="1"/>
    <pageSetUpPr/>
  </sheetPr>
  <dimension ref="A1:M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32" customWidth="1" min="3" max="3"/>
    <col width="16" customWidth="1" min="4" max="4"/>
    <col width="15" customWidth="1" min="5" max="5"/>
    <col width="28" customWidth="1" min="6" max="6"/>
    <col width="24" customWidth="1" min="7" max="7"/>
    <col width="30" customWidth="1" min="8" max="8"/>
    <col width="24" customWidth="1" min="9" max="9"/>
    <col width="26" customWidth="1" min="10" max="10"/>
    <col width="20" customWidth="1" min="11" max="11"/>
    <col width="20" customWidth="1" min="12" max="12"/>
    <col width="34" customWidth="1" min="13" max="13"/>
  </cols>
  <sheetData>
    <row r="1" ht="28" customHeight="1">
      <c r="A1" s="43" t="inlineStr">
        <is>
          <t>Final Transactions</t>
        </is>
      </c>
    </row>
    <row r="2" ht="32" customHeight="1">
      <c r="A2" s="44" t="inlineStr">
        <is>
          <t>Columns A:G represent cleaned bank data. Columns H:M apply the Review Log. Monthly pages use only the final columns.</t>
        </is>
      </c>
    </row>
    <row r="3">
      <c r="A3" s="16" t="inlineStr">
        <is>
          <t>← Start Here</t>
        </is>
      </c>
      <c r="B3" s="16" t="inlineStr">
        <is>
          <t>October</t>
        </is>
      </c>
      <c r="C3" s="16" t="inlineStr">
        <is>
          <t>September</t>
        </is>
      </c>
      <c r="D3" s="16" t="inlineStr">
        <is>
          <t>Review Log</t>
        </is>
      </c>
    </row>
    <row r="4">
      <c r="A4" t="inlineStr">
        <is>
          <t>Transaction ID</t>
        </is>
      </c>
      <c r="B4" t="inlineStr">
        <is>
          <t>Posted Date</t>
        </is>
      </c>
      <c r="C4" t="inlineStr">
        <is>
          <t>Merchant</t>
        </is>
      </c>
      <c r="D4" t="inlineStr">
        <is>
          <t>Account</t>
        </is>
      </c>
      <c r="E4" t="inlineStr">
        <is>
          <t>Amount</t>
        </is>
      </c>
      <c r="F4" t="inlineStr">
        <is>
          <t>Suggested Type</t>
        </is>
      </c>
      <c r="G4" t="inlineStr">
        <is>
          <t>Suggested Category</t>
        </is>
      </c>
      <c r="H4" t="inlineStr">
        <is>
          <t>Final Type</t>
        </is>
      </c>
      <c r="I4" t="inlineStr">
        <is>
          <t>Final Category</t>
        </is>
      </c>
      <c r="J4" t="inlineStr">
        <is>
          <t>Related Transaction</t>
        </is>
      </c>
      <c r="K4" t="inlineStr">
        <is>
          <t>Applies To Month</t>
        </is>
      </c>
      <c r="L4" t="inlineStr">
        <is>
          <t>Review Status</t>
        </is>
      </c>
      <c r="M4" t="inlineStr">
        <is>
          <t>Notes</t>
        </is>
      </c>
    </row>
    <row r="5">
      <c r="A5" t="inlineStr">
        <is>
          <t>SEP-001</t>
        </is>
      </c>
      <c r="B5" s="45" t="n">
        <v>46266</v>
      </c>
      <c r="C5" t="inlineStr">
        <is>
          <t>Payroll Deposit</t>
        </is>
      </c>
      <c r="D5" t="inlineStr">
        <is>
          <t>Chequing</t>
        </is>
      </c>
      <c r="E5" s="46" t="n">
        <v>4000</v>
      </c>
      <c r="F5" t="inlineStr">
        <is>
          <t>Income</t>
        </is>
      </c>
      <c r="G5" t="inlineStr">
        <is>
          <t>Employment</t>
        </is>
      </c>
      <c r="H5" s="47">
        <f>IFERROR(IF(INDEX(tblReview[Type Override],MATCH(A5,tblReview[Transaction ID],0))="",F5,INDEX(tblReview[Type Override],MATCH(A5,tblReview[Transaction ID],0))),F5)</f>
        <v/>
      </c>
      <c r="I5" s="47">
        <f>IFERROR(IF(INDEX(tblReview[Category Override],MATCH(A5,tblReview[Transaction ID],0))="",G5,INDEX(tblReview[Category Override],MATCH(A5,tblReview[Transaction ID],0))),G5)</f>
        <v/>
      </c>
      <c r="J5" s="47">
        <f>IFERROR(INDEX(tblReview[Related Transaction],MATCH(A5,tblReview[Transaction ID],0)),"")</f>
        <v/>
      </c>
      <c r="K5" s="48">
        <f>IFERROR(IF(INDEX(tblReview[Applies To Month],MATCH(A5,tblReview[Transaction ID],0))=0,DATE(YEAR(B5),MONTH(B5),1),INDEX(tblReview[Applies To Month],MATCH(A5,tblReview[Transaction ID],0))),DATE(YEAR(B5),MONTH(B5),1))</f>
        <v/>
      </c>
      <c r="L5" s="47">
        <f>IFERROR(INDEX(tblReview[Status],MATCH(A5,tblReview[Transaction ID],0)),"Unreviewed")</f>
        <v/>
      </c>
      <c r="M5" s="47">
        <f>IFERROR(INDEX(tblReview[Notes],MATCH(A5,tblReview[Transaction ID],0)),"")</f>
        <v/>
      </c>
    </row>
    <row r="6">
      <c r="A6" t="inlineStr">
        <is>
          <t>SEP-002</t>
        </is>
      </c>
      <c r="B6" s="45" t="n">
        <v>46267</v>
      </c>
      <c r="C6" t="inlineStr">
        <is>
          <t>E-transfer to Landlord</t>
        </is>
      </c>
      <c r="D6" t="inlineStr">
        <is>
          <t>Chequing</t>
        </is>
      </c>
      <c r="E6" s="46" t="n">
        <v>-2000</v>
      </c>
      <c r="F6" t="inlineStr">
        <is>
          <t>Expense</t>
        </is>
      </c>
      <c r="G6" t="inlineStr">
        <is>
          <t>Rent</t>
        </is>
      </c>
      <c r="H6" s="47">
        <f>IFERROR(IF(INDEX(tblReview[Type Override],MATCH(A6,tblReview[Transaction ID],0))="",F6,INDEX(tblReview[Type Override],MATCH(A6,tblReview[Transaction ID],0))),F6)</f>
        <v/>
      </c>
      <c r="I6" s="47">
        <f>IFERROR(IF(INDEX(tblReview[Category Override],MATCH(A6,tblReview[Transaction ID],0))="",G6,INDEX(tblReview[Category Override],MATCH(A6,tblReview[Transaction ID],0))),G6)</f>
        <v/>
      </c>
      <c r="J6" s="47">
        <f>IFERROR(INDEX(tblReview[Related Transaction],MATCH(A6,tblReview[Transaction ID],0)),"")</f>
        <v/>
      </c>
      <c r="K6" s="48">
        <f>IFERROR(IF(INDEX(tblReview[Applies To Month],MATCH(A6,tblReview[Transaction ID],0))=0,DATE(YEAR(B6),MONTH(B6),1),INDEX(tblReview[Applies To Month],MATCH(A6,tblReview[Transaction ID],0))),DATE(YEAR(B6),MONTH(B6),1))</f>
        <v/>
      </c>
      <c r="L6" s="47">
        <f>IFERROR(INDEX(tblReview[Status],MATCH(A6,tblReview[Transaction ID],0)),"Unreviewed")</f>
        <v/>
      </c>
      <c r="M6" s="47">
        <f>IFERROR(INDEX(tblReview[Notes],MATCH(A6,tblReview[Transaction ID],0)),"")</f>
        <v/>
      </c>
    </row>
    <row r="7">
      <c r="A7" t="inlineStr">
        <is>
          <t>SEP-003</t>
        </is>
      </c>
      <c r="B7" s="45" t="n">
        <v>46267</v>
      </c>
      <c r="C7" t="inlineStr">
        <is>
          <t>E-transfer from Roommate</t>
        </is>
      </c>
      <c r="D7" t="inlineStr">
        <is>
          <t>Chequing</t>
        </is>
      </c>
      <c r="E7" s="46" t="n">
        <v>1000</v>
      </c>
      <c r="F7" t="inlineStr">
        <is>
          <t>Internal Transfer</t>
        </is>
      </c>
      <c r="G7" t="inlineStr">
        <is>
          <t>Bank</t>
        </is>
      </c>
      <c r="H7" s="47">
        <f>IFERROR(IF(INDEX(tblReview[Type Override],MATCH(A7,tblReview[Transaction ID],0))="",F7,INDEX(tblReview[Type Override],MATCH(A7,tblReview[Transaction ID],0))),F7)</f>
        <v/>
      </c>
      <c r="I7" s="47">
        <f>IFERROR(IF(INDEX(tblReview[Category Override],MATCH(A7,tblReview[Transaction ID],0))="",G7,INDEX(tblReview[Category Override],MATCH(A7,tblReview[Transaction ID],0))),G7)</f>
        <v/>
      </c>
      <c r="J7" s="47">
        <f>IFERROR(INDEX(tblReview[Related Transaction],MATCH(A7,tblReview[Transaction ID],0)),"")</f>
        <v/>
      </c>
      <c r="K7" s="48">
        <f>IFERROR(IF(INDEX(tblReview[Applies To Month],MATCH(A7,tblReview[Transaction ID],0))=0,DATE(YEAR(B7),MONTH(B7),1),INDEX(tblReview[Applies To Month],MATCH(A7,tblReview[Transaction ID],0))),DATE(YEAR(B7),MONTH(B7),1))</f>
        <v/>
      </c>
      <c r="L7" s="47">
        <f>IFERROR(INDEX(tblReview[Status],MATCH(A7,tblReview[Transaction ID],0)),"Unreviewed")</f>
        <v/>
      </c>
      <c r="M7" s="47">
        <f>IFERROR(INDEX(tblReview[Notes],MATCH(A7,tblReview[Transaction ID],0)),"")</f>
        <v/>
      </c>
    </row>
    <row r="8">
      <c r="A8" t="inlineStr">
        <is>
          <t>SEP-004</t>
        </is>
      </c>
      <c r="B8" s="45" t="n">
        <v>46268</v>
      </c>
      <c r="C8" t="inlineStr">
        <is>
          <t>Transfer to Vacation Savings</t>
        </is>
      </c>
      <c r="D8" t="inlineStr">
        <is>
          <t>Chequing</t>
        </is>
      </c>
      <c r="E8" s="46" t="n">
        <v>-200</v>
      </c>
      <c r="F8" t="inlineStr">
        <is>
          <t>Internal Transfer</t>
        </is>
      </c>
      <c r="G8" t="inlineStr">
        <is>
          <t>Transfer</t>
        </is>
      </c>
      <c r="H8" s="47">
        <f>IFERROR(IF(INDEX(tblReview[Type Override],MATCH(A8,tblReview[Transaction ID],0))="",F8,INDEX(tblReview[Type Override],MATCH(A8,tblReview[Transaction ID],0))),F8)</f>
        <v/>
      </c>
      <c r="I8" s="47">
        <f>IFERROR(IF(INDEX(tblReview[Category Override],MATCH(A8,tblReview[Transaction ID],0))="",G8,INDEX(tblReview[Category Override],MATCH(A8,tblReview[Transaction ID],0))),G8)</f>
        <v/>
      </c>
      <c r="J8" s="47">
        <f>IFERROR(INDEX(tblReview[Related Transaction],MATCH(A8,tblReview[Transaction ID],0)),"")</f>
        <v/>
      </c>
      <c r="K8" s="48">
        <f>IFERROR(IF(INDEX(tblReview[Applies To Month],MATCH(A8,tblReview[Transaction ID],0))=0,DATE(YEAR(B8),MONTH(B8),1),INDEX(tblReview[Applies To Month],MATCH(A8,tblReview[Transaction ID],0))),DATE(YEAR(B8),MONTH(B8),1))</f>
        <v/>
      </c>
      <c r="L8" s="47">
        <f>IFERROR(INDEX(tblReview[Status],MATCH(A8,tblReview[Transaction ID],0)),"Unreviewed")</f>
        <v/>
      </c>
      <c r="M8" s="47">
        <f>IFERROR(INDEX(tblReview[Notes],MATCH(A8,tblReview[Transaction ID],0)),"")</f>
        <v/>
      </c>
    </row>
    <row r="9">
      <c r="A9" t="inlineStr">
        <is>
          <t>SEP-005</t>
        </is>
      </c>
      <c r="B9" s="45" t="n">
        <v>46268</v>
      </c>
      <c r="C9" t="inlineStr">
        <is>
          <t>Transfer from Chequing</t>
        </is>
      </c>
      <c r="D9" t="inlineStr">
        <is>
          <t>Savings</t>
        </is>
      </c>
      <c r="E9" s="46" t="n">
        <v>200</v>
      </c>
      <c r="F9" t="inlineStr">
        <is>
          <t>Internal Transfer</t>
        </is>
      </c>
      <c r="G9" t="inlineStr">
        <is>
          <t>Transfer</t>
        </is>
      </c>
      <c r="H9" s="47">
        <f>IFERROR(IF(INDEX(tblReview[Type Override],MATCH(A9,tblReview[Transaction ID],0))="",F9,INDEX(tblReview[Type Override],MATCH(A9,tblReview[Transaction ID],0))),F9)</f>
        <v/>
      </c>
      <c r="I9" s="47">
        <f>IFERROR(IF(INDEX(tblReview[Category Override],MATCH(A9,tblReview[Transaction ID],0))="",G9,INDEX(tblReview[Category Override],MATCH(A9,tblReview[Transaction ID],0))),G9)</f>
        <v/>
      </c>
      <c r="J9" s="47">
        <f>IFERROR(INDEX(tblReview[Related Transaction],MATCH(A9,tblReview[Transaction ID],0)),"")</f>
        <v/>
      </c>
      <c r="K9" s="48">
        <f>IFERROR(IF(INDEX(tblReview[Applies To Month],MATCH(A9,tblReview[Transaction ID],0))=0,DATE(YEAR(B9),MONTH(B9),1),INDEX(tblReview[Applies To Month],MATCH(A9,tblReview[Transaction ID],0))),DATE(YEAR(B9),MONTH(B9),1))</f>
        <v/>
      </c>
      <c r="L9" s="47">
        <f>IFERROR(INDEX(tblReview[Status],MATCH(A9,tblReview[Transaction ID],0)),"Unreviewed")</f>
        <v/>
      </c>
      <c r="M9" s="47">
        <f>IFERROR(INDEX(tblReview[Notes],MATCH(A9,tblReview[Transaction ID],0)),"")</f>
        <v/>
      </c>
    </row>
    <row r="10">
      <c r="A10" t="inlineStr">
        <is>
          <t>SEP-006</t>
        </is>
      </c>
      <c r="B10" s="45" t="n">
        <v>46269</v>
      </c>
      <c r="C10" t="inlineStr">
        <is>
          <t>Investment Account Contribution</t>
        </is>
      </c>
      <c r="D10" t="inlineStr">
        <is>
          <t>Chequing</t>
        </is>
      </c>
      <c r="E10" s="46" t="n">
        <v>-400</v>
      </c>
      <c r="F10" t="inlineStr">
        <is>
          <t>Internal Transfer</t>
        </is>
      </c>
      <c r="G10" t="inlineStr">
        <is>
          <t>Transfer</t>
        </is>
      </c>
      <c r="H10" s="47">
        <f>IFERROR(IF(INDEX(tblReview[Type Override],MATCH(A10,tblReview[Transaction ID],0))="",F10,INDEX(tblReview[Type Override],MATCH(A10,tblReview[Transaction ID],0))),F10)</f>
        <v/>
      </c>
      <c r="I10" s="47">
        <f>IFERROR(IF(INDEX(tblReview[Category Override],MATCH(A10,tblReview[Transaction ID],0))="",G10,INDEX(tblReview[Category Override],MATCH(A10,tblReview[Transaction ID],0))),G10)</f>
        <v/>
      </c>
      <c r="J10" s="47">
        <f>IFERROR(INDEX(tblReview[Related Transaction],MATCH(A10,tblReview[Transaction ID],0)),"")</f>
        <v/>
      </c>
      <c r="K10" s="48">
        <f>IFERROR(IF(INDEX(tblReview[Applies To Month],MATCH(A10,tblReview[Transaction ID],0))=0,DATE(YEAR(B10),MONTH(B10),1),INDEX(tblReview[Applies To Month],MATCH(A10,tblReview[Transaction ID],0))),DATE(YEAR(B10),MONTH(B10),1))</f>
        <v/>
      </c>
      <c r="L10" s="47">
        <f>IFERROR(INDEX(tblReview[Status],MATCH(A10,tblReview[Transaction ID],0)),"Unreviewed")</f>
        <v/>
      </c>
      <c r="M10" s="47">
        <f>IFERROR(INDEX(tblReview[Notes],MATCH(A10,tblReview[Transaction ID],0)),"")</f>
        <v/>
      </c>
    </row>
    <row r="11">
      <c r="A11" t="inlineStr">
        <is>
          <t>SEP-007</t>
        </is>
      </c>
      <c r="B11" s="45" t="n">
        <v>46270</v>
      </c>
      <c r="C11" t="inlineStr">
        <is>
          <t>Neighbourhood Grocery</t>
        </is>
      </c>
      <c r="D11" t="inlineStr">
        <is>
          <t>Visa</t>
        </is>
      </c>
      <c r="E11" s="46" t="n">
        <v>-210</v>
      </c>
      <c r="F11" t="inlineStr">
        <is>
          <t>Expense</t>
        </is>
      </c>
      <c r="G11" t="inlineStr">
        <is>
          <t>Groceries</t>
        </is>
      </c>
      <c r="H11" s="47">
        <f>IFERROR(IF(INDEX(tblReview[Type Override],MATCH(A11,tblReview[Transaction ID],0))="",F11,INDEX(tblReview[Type Override],MATCH(A11,tblReview[Transaction ID],0))),F11)</f>
        <v/>
      </c>
      <c r="I11" s="47">
        <f>IFERROR(IF(INDEX(tblReview[Category Override],MATCH(A11,tblReview[Transaction ID],0))="",G11,INDEX(tblReview[Category Override],MATCH(A11,tblReview[Transaction ID],0))),G11)</f>
        <v/>
      </c>
      <c r="J11" s="47">
        <f>IFERROR(INDEX(tblReview[Related Transaction],MATCH(A11,tblReview[Transaction ID],0)),"")</f>
        <v/>
      </c>
      <c r="K11" s="48">
        <f>IFERROR(IF(INDEX(tblReview[Applies To Month],MATCH(A11,tblReview[Transaction ID],0))=0,DATE(YEAR(B11),MONTH(B11),1),INDEX(tblReview[Applies To Month],MATCH(A11,tblReview[Transaction ID],0))),DATE(YEAR(B11),MONTH(B11),1))</f>
        <v/>
      </c>
      <c r="L11" s="47">
        <f>IFERROR(INDEX(tblReview[Status],MATCH(A11,tblReview[Transaction ID],0)),"Unreviewed")</f>
        <v/>
      </c>
      <c r="M11" s="47">
        <f>IFERROR(INDEX(tblReview[Notes],MATCH(A11,tblReview[Transaction ID],0)),"")</f>
        <v/>
      </c>
    </row>
    <row r="12">
      <c r="A12" t="inlineStr">
        <is>
          <t>SEP-008</t>
        </is>
      </c>
      <c r="B12" s="45" t="n">
        <v>46271</v>
      </c>
      <c r="C12" t="inlineStr">
        <is>
          <t>Fuel Station</t>
        </is>
      </c>
      <c r="D12" t="inlineStr">
        <is>
          <t>Visa</t>
        </is>
      </c>
      <c r="E12" s="46" t="n">
        <v>-60</v>
      </c>
      <c r="F12" t="inlineStr">
        <is>
          <t>Expense</t>
        </is>
      </c>
      <c r="G12" t="inlineStr">
        <is>
          <t>Transportation</t>
        </is>
      </c>
      <c r="H12" s="47">
        <f>IFERROR(IF(INDEX(tblReview[Type Override],MATCH(A12,tblReview[Transaction ID],0))="",F12,INDEX(tblReview[Type Override],MATCH(A12,tblReview[Transaction ID],0))),F12)</f>
        <v/>
      </c>
      <c r="I12" s="47">
        <f>IFERROR(IF(INDEX(tblReview[Category Override],MATCH(A12,tblReview[Transaction ID],0))="",G12,INDEX(tblReview[Category Override],MATCH(A12,tblReview[Transaction ID],0))),G12)</f>
        <v/>
      </c>
      <c r="J12" s="47">
        <f>IFERROR(INDEX(tblReview[Related Transaction],MATCH(A12,tblReview[Transaction ID],0)),"")</f>
        <v/>
      </c>
      <c r="K12" s="48">
        <f>IFERROR(IF(INDEX(tblReview[Applies To Month],MATCH(A12,tblReview[Transaction ID],0))=0,DATE(YEAR(B12),MONTH(B12),1),INDEX(tblReview[Applies To Month],MATCH(A12,tblReview[Transaction ID],0))),DATE(YEAR(B12),MONTH(B12),1))</f>
        <v/>
      </c>
      <c r="L12" s="47">
        <f>IFERROR(INDEX(tblReview[Status],MATCH(A12,tblReview[Transaction ID],0)),"Unreviewed")</f>
        <v/>
      </c>
      <c r="M12" s="47">
        <f>IFERROR(INDEX(tblReview[Notes],MATCH(A12,tblReview[Transaction ID],0)),"")</f>
        <v/>
      </c>
    </row>
    <row r="13">
      <c r="A13" t="inlineStr">
        <is>
          <t>SEP-009</t>
        </is>
      </c>
      <c r="B13" s="45" t="n">
        <v>46273</v>
      </c>
      <c r="C13" t="inlineStr">
        <is>
          <t>Hydro Company</t>
        </is>
      </c>
      <c r="D13" t="inlineStr">
        <is>
          <t>Chequing</t>
        </is>
      </c>
      <c r="E13" s="46" t="n">
        <v>-135</v>
      </c>
      <c r="F13" t="inlineStr">
        <is>
          <t>Expense</t>
        </is>
      </c>
      <c r="G13" t="inlineStr">
        <is>
          <t>Utilities</t>
        </is>
      </c>
      <c r="H13" s="47">
        <f>IFERROR(IF(INDEX(tblReview[Type Override],MATCH(A13,tblReview[Transaction ID],0))="",F13,INDEX(tblReview[Type Override],MATCH(A13,tblReview[Transaction ID],0))),F13)</f>
        <v/>
      </c>
      <c r="I13" s="47">
        <f>IFERROR(IF(INDEX(tblReview[Category Override],MATCH(A13,tblReview[Transaction ID],0))="",G13,INDEX(tblReview[Category Override],MATCH(A13,tblReview[Transaction ID],0))),G13)</f>
        <v/>
      </c>
      <c r="J13" s="47">
        <f>IFERROR(INDEX(tblReview[Related Transaction],MATCH(A13,tblReview[Transaction ID],0)),"")</f>
        <v/>
      </c>
      <c r="K13" s="48">
        <f>IFERROR(IF(INDEX(tblReview[Applies To Month],MATCH(A13,tblReview[Transaction ID],0))=0,DATE(YEAR(B13),MONTH(B13),1),INDEX(tblReview[Applies To Month],MATCH(A13,tblReview[Transaction ID],0))),DATE(YEAR(B13),MONTH(B13),1))</f>
        <v/>
      </c>
      <c r="L13" s="47">
        <f>IFERROR(INDEX(tblReview[Status],MATCH(A13,tblReview[Transaction ID],0)),"Unreviewed")</f>
        <v/>
      </c>
      <c r="M13" s="47">
        <f>IFERROR(INDEX(tblReview[Notes],MATCH(A13,tblReview[Transaction ID],0)),"")</f>
        <v/>
      </c>
    </row>
    <row r="14">
      <c r="A14" t="inlineStr">
        <is>
          <t>SEP-010</t>
        </is>
      </c>
      <c r="B14" s="45" t="n">
        <v>46275</v>
      </c>
      <c r="C14" t="inlineStr">
        <is>
          <t>Local Restaurant</t>
        </is>
      </c>
      <c r="D14" t="inlineStr">
        <is>
          <t>Visa</t>
        </is>
      </c>
      <c r="E14" s="46" t="n">
        <v>-80</v>
      </c>
      <c r="F14" t="inlineStr">
        <is>
          <t>Expense</t>
        </is>
      </c>
      <c r="G14" t="inlineStr">
        <is>
          <t>Restaurants</t>
        </is>
      </c>
      <c r="H14" s="47">
        <f>IFERROR(IF(INDEX(tblReview[Type Override],MATCH(A14,tblReview[Transaction ID],0))="",F14,INDEX(tblReview[Type Override],MATCH(A14,tblReview[Transaction ID],0))),F14)</f>
        <v/>
      </c>
      <c r="I14" s="47">
        <f>IFERROR(IF(INDEX(tblReview[Category Override],MATCH(A14,tblReview[Transaction ID],0))="",G14,INDEX(tblReview[Category Override],MATCH(A14,tblReview[Transaction ID],0))),G14)</f>
        <v/>
      </c>
      <c r="J14" s="47">
        <f>IFERROR(INDEX(tblReview[Related Transaction],MATCH(A14,tblReview[Transaction ID],0)),"")</f>
        <v/>
      </c>
      <c r="K14" s="48">
        <f>IFERROR(IF(INDEX(tblReview[Applies To Month],MATCH(A14,tblReview[Transaction ID],0))=0,DATE(YEAR(B14),MONTH(B14),1),INDEX(tblReview[Applies To Month],MATCH(A14,tblReview[Transaction ID],0))),DATE(YEAR(B14),MONTH(B14),1))</f>
        <v/>
      </c>
      <c r="L14" s="47">
        <f>IFERROR(INDEX(tblReview[Status],MATCH(A14,tblReview[Transaction ID],0)),"Unreviewed")</f>
        <v/>
      </c>
      <c r="M14" s="47">
        <f>IFERROR(INDEX(tblReview[Notes],MATCH(A14,tblReview[Transaction ID],0)),"")</f>
        <v/>
      </c>
    </row>
    <row r="15">
      <c r="A15" t="inlineStr">
        <is>
          <t>SEP-011</t>
        </is>
      </c>
      <c r="B15" s="45" t="n">
        <v>46277</v>
      </c>
      <c r="C15" t="inlineStr">
        <is>
          <t>Streaming Service</t>
        </is>
      </c>
      <c r="D15" t="inlineStr">
        <is>
          <t>Visa</t>
        </is>
      </c>
      <c r="E15" s="46" t="n">
        <v>-15</v>
      </c>
      <c r="F15" t="inlineStr">
        <is>
          <t>Expense</t>
        </is>
      </c>
      <c r="G15" t="inlineStr">
        <is>
          <t>Subscriptions</t>
        </is>
      </c>
      <c r="H15" s="47">
        <f>IFERROR(IF(INDEX(tblReview[Type Override],MATCH(A15,tblReview[Transaction ID],0))="",F15,INDEX(tblReview[Type Override],MATCH(A15,tblReview[Transaction ID],0))),F15)</f>
        <v/>
      </c>
      <c r="I15" s="47">
        <f>IFERROR(IF(INDEX(tblReview[Category Override],MATCH(A15,tblReview[Transaction ID],0))="",G15,INDEX(tblReview[Category Override],MATCH(A15,tblReview[Transaction ID],0))),G15)</f>
        <v/>
      </c>
      <c r="J15" s="47">
        <f>IFERROR(INDEX(tblReview[Related Transaction],MATCH(A15,tblReview[Transaction ID],0)),"")</f>
        <v/>
      </c>
      <c r="K15" s="48">
        <f>IFERROR(IF(INDEX(tblReview[Applies To Month],MATCH(A15,tblReview[Transaction ID],0))=0,DATE(YEAR(B15),MONTH(B15),1),INDEX(tblReview[Applies To Month],MATCH(A15,tblReview[Transaction ID],0))),DATE(YEAR(B15),MONTH(B15),1))</f>
        <v/>
      </c>
      <c r="L15" s="47">
        <f>IFERROR(INDEX(tblReview[Status],MATCH(A15,tblReview[Transaction ID],0)),"Unreviewed")</f>
        <v/>
      </c>
      <c r="M15" s="47">
        <f>IFERROR(INDEX(tblReview[Notes],MATCH(A15,tblReview[Transaction ID],0)),"")</f>
        <v/>
      </c>
    </row>
    <row r="16">
      <c r="A16" t="inlineStr">
        <is>
          <t>SEP-012</t>
        </is>
      </c>
      <c r="B16" s="45" t="n">
        <v>46280</v>
      </c>
      <c r="C16" t="inlineStr">
        <is>
          <t>Visa Payment</t>
        </is>
      </c>
      <c r="D16" t="inlineStr">
        <is>
          <t>Chequing</t>
        </is>
      </c>
      <c r="E16" s="46" t="n">
        <v>-500</v>
      </c>
      <c r="F16" t="inlineStr">
        <is>
          <t>Internal Transfer</t>
        </is>
      </c>
      <c r="G16" t="inlineStr">
        <is>
          <t>Transfer</t>
        </is>
      </c>
      <c r="H16" s="47">
        <f>IFERROR(IF(INDEX(tblReview[Type Override],MATCH(A16,tblReview[Transaction ID],0))="",F16,INDEX(tblReview[Type Override],MATCH(A16,tblReview[Transaction ID],0))),F16)</f>
        <v/>
      </c>
      <c r="I16" s="47">
        <f>IFERROR(IF(INDEX(tblReview[Category Override],MATCH(A16,tblReview[Transaction ID],0))="",G16,INDEX(tblReview[Category Override],MATCH(A16,tblReview[Transaction ID],0))),G16)</f>
        <v/>
      </c>
      <c r="J16" s="47">
        <f>IFERROR(INDEX(tblReview[Related Transaction],MATCH(A16,tblReview[Transaction ID],0)),"")</f>
        <v/>
      </c>
      <c r="K16" s="48">
        <f>IFERROR(IF(INDEX(tblReview[Applies To Month],MATCH(A16,tblReview[Transaction ID],0))=0,DATE(YEAR(B16),MONTH(B16),1),INDEX(tblReview[Applies To Month],MATCH(A16,tblReview[Transaction ID],0))),DATE(YEAR(B16),MONTH(B16),1))</f>
        <v/>
      </c>
      <c r="L16" s="47">
        <f>IFERROR(INDEX(tblReview[Status],MATCH(A16,tblReview[Transaction ID],0)),"Unreviewed")</f>
        <v/>
      </c>
      <c r="M16" s="47">
        <f>IFERROR(INDEX(tblReview[Notes],MATCH(A16,tblReview[Transaction ID],0)),"")</f>
        <v/>
      </c>
    </row>
    <row r="17">
      <c r="A17" t="inlineStr">
        <is>
          <t>SEP-013</t>
        </is>
      </c>
      <c r="B17" s="45" t="n">
        <v>46280</v>
      </c>
      <c r="C17" t="inlineStr">
        <is>
          <t>Payment Received</t>
        </is>
      </c>
      <c r="D17" t="inlineStr">
        <is>
          <t>Visa</t>
        </is>
      </c>
      <c r="E17" s="46" t="n">
        <v>500</v>
      </c>
      <c r="F17" t="inlineStr">
        <is>
          <t>Internal Transfer</t>
        </is>
      </c>
      <c r="G17" t="inlineStr">
        <is>
          <t>Transfer</t>
        </is>
      </c>
      <c r="H17" s="47">
        <f>IFERROR(IF(INDEX(tblReview[Type Override],MATCH(A17,tblReview[Transaction ID],0))="",F17,INDEX(tblReview[Type Override],MATCH(A17,tblReview[Transaction ID],0))),F17)</f>
        <v/>
      </c>
      <c r="I17" s="47">
        <f>IFERROR(IF(INDEX(tblReview[Category Override],MATCH(A17,tblReview[Transaction ID],0))="",G17,INDEX(tblReview[Category Override],MATCH(A17,tblReview[Transaction ID],0))),G17)</f>
        <v/>
      </c>
      <c r="J17" s="47">
        <f>IFERROR(INDEX(tblReview[Related Transaction],MATCH(A17,tblReview[Transaction ID],0)),"")</f>
        <v/>
      </c>
      <c r="K17" s="48">
        <f>IFERROR(IF(INDEX(tblReview[Applies To Month],MATCH(A17,tblReview[Transaction ID],0))=0,DATE(YEAR(B17),MONTH(B17),1),INDEX(tblReview[Applies To Month],MATCH(A17,tblReview[Transaction ID],0))),DATE(YEAR(B17),MONTH(B17),1))</f>
        <v/>
      </c>
      <c r="L17" s="47">
        <f>IFERROR(INDEX(tblReview[Status],MATCH(A17,tblReview[Transaction ID],0)),"Unreviewed")</f>
        <v/>
      </c>
      <c r="M17" s="47">
        <f>IFERROR(INDEX(tblReview[Notes],MATCH(A17,tblReview[Transaction ID],0)),"")</f>
        <v/>
      </c>
    </row>
    <row r="18">
      <c r="A18" t="inlineStr">
        <is>
          <t>SEP-014</t>
        </is>
      </c>
      <c r="B18" s="45" t="n">
        <v>46283</v>
      </c>
      <c r="C18" t="inlineStr">
        <is>
          <t>Neighbourhood Grocery</t>
        </is>
      </c>
      <c r="D18" t="inlineStr">
        <is>
          <t>Visa</t>
        </is>
      </c>
      <c r="E18" s="46" t="n">
        <v>-160</v>
      </c>
      <c r="F18" t="inlineStr">
        <is>
          <t>Expense</t>
        </is>
      </c>
      <c r="G18" t="inlineStr">
        <is>
          <t>Groceries</t>
        </is>
      </c>
      <c r="H18" s="47">
        <f>IFERROR(IF(INDEX(tblReview[Type Override],MATCH(A18,tblReview[Transaction ID],0))="",F18,INDEX(tblReview[Type Override],MATCH(A18,tblReview[Transaction ID],0))),F18)</f>
        <v/>
      </c>
      <c r="I18" s="47">
        <f>IFERROR(IF(INDEX(tblReview[Category Override],MATCH(A18,tblReview[Transaction ID],0))="",G18,INDEX(tblReview[Category Override],MATCH(A18,tblReview[Transaction ID],0))),G18)</f>
        <v/>
      </c>
      <c r="J18" s="47">
        <f>IFERROR(INDEX(tblReview[Related Transaction],MATCH(A18,tblReview[Transaction ID],0)),"")</f>
        <v/>
      </c>
      <c r="K18" s="48">
        <f>IFERROR(IF(INDEX(tblReview[Applies To Month],MATCH(A18,tblReview[Transaction ID],0))=0,DATE(YEAR(B18),MONTH(B18),1),INDEX(tblReview[Applies To Month],MATCH(A18,tblReview[Transaction ID],0))),DATE(YEAR(B18),MONTH(B18),1))</f>
        <v/>
      </c>
      <c r="L18" s="47">
        <f>IFERROR(INDEX(tblReview[Status],MATCH(A18,tblReview[Transaction ID],0)),"Unreviewed")</f>
        <v/>
      </c>
      <c r="M18" s="47">
        <f>IFERROR(INDEX(tblReview[Notes],MATCH(A18,tblReview[Transaction ID],0)),"")</f>
        <v/>
      </c>
    </row>
    <row r="19">
      <c r="A19" t="inlineStr">
        <is>
          <t>SEP-015</t>
        </is>
      </c>
      <c r="B19" s="45" t="n">
        <v>46285</v>
      </c>
      <c r="C19" t="inlineStr">
        <is>
          <t>Personal Purchase</t>
        </is>
      </c>
      <c r="D19" t="inlineStr">
        <is>
          <t>Visa</t>
        </is>
      </c>
      <c r="E19" s="46" t="n">
        <v>-90</v>
      </c>
      <c r="F19" t="inlineStr">
        <is>
          <t>Expense</t>
        </is>
      </c>
      <c r="G19" t="inlineStr">
        <is>
          <t>Personal</t>
        </is>
      </c>
      <c r="H19" s="47">
        <f>IFERROR(IF(INDEX(tblReview[Type Override],MATCH(A19,tblReview[Transaction ID],0))="",F19,INDEX(tblReview[Type Override],MATCH(A19,tblReview[Transaction ID],0))),F19)</f>
        <v/>
      </c>
      <c r="I19" s="47">
        <f>IFERROR(IF(INDEX(tblReview[Category Override],MATCH(A19,tblReview[Transaction ID],0))="",G19,INDEX(tblReview[Category Override],MATCH(A19,tblReview[Transaction ID],0))),G19)</f>
        <v/>
      </c>
      <c r="J19" s="47">
        <f>IFERROR(INDEX(tblReview[Related Transaction],MATCH(A19,tblReview[Transaction ID],0)),"")</f>
        <v/>
      </c>
      <c r="K19" s="48">
        <f>IFERROR(IF(INDEX(tblReview[Applies To Month],MATCH(A19,tblReview[Transaction ID],0))=0,DATE(YEAR(B19),MONTH(B19),1),INDEX(tblReview[Applies To Month],MATCH(A19,tblReview[Transaction ID],0))),DATE(YEAR(B19),MONTH(B19),1))</f>
        <v/>
      </c>
      <c r="L19" s="47">
        <f>IFERROR(INDEX(tblReview[Status],MATCH(A19,tblReview[Transaction ID],0)),"Unreviewed")</f>
        <v/>
      </c>
      <c r="M19" s="47">
        <f>IFERROR(INDEX(tblReview[Notes],MATCH(A19,tblReview[Transaction ID],0)),"")</f>
        <v/>
      </c>
    </row>
    <row r="20">
      <c r="A20" t="inlineStr">
        <is>
          <t>SEP-016</t>
        </is>
      </c>
      <c r="B20" s="45" t="n">
        <v>46290</v>
      </c>
      <c r="C20" t="inlineStr">
        <is>
          <t>Local Restaurant</t>
        </is>
      </c>
      <c r="D20" t="inlineStr">
        <is>
          <t>Visa</t>
        </is>
      </c>
      <c r="E20" s="46" t="n">
        <v>-120</v>
      </c>
      <c r="F20" t="inlineStr">
        <is>
          <t>Expense</t>
        </is>
      </c>
      <c r="G20" t="inlineStr">
        <is>
          <t>Restaurants</t>
        </is>
      </c>
      <c r="H20" s="47">
        <f>IFERROR(IF(INDEX(tblReview[Type Override],MATCH(A20,tblReview[Transaction ID],0))="",F20,INDEX(tblReview[Type Override],MATCH(A20,tblReview[Transaction ID],0))),F20)</f>
        <v/>
      </c>
      <c r="I20" s="47">
        <f>IFERROR(IF(INDEX(tblReview[Category Override],MATCH(A20,tblReview[Transaction ID],0))="",G20,INDEX(tblReview[Category Override],MATCH(A20,tblReview[Transaction ID],0))),G20)</f>
        <v/>
      </c>
      <c r="J20" s="47">
        <f>IFERROR(INDEX(tblReview[Related Transaction],MATCH(A20,tblReview[Transaction ID],0)),"")</f>
        <v/>
      </c>
      <c r="K20" s="48">
        <f>IFERROR(IF(INDEX(tblReview[Applies To Month],MATCH(A20,tblReview[Transaction ID],0))=0,DATE(YEAR(B20),MONTH(B20),1),INDEX(tblReview[Applies To Month],MATCH(A20,tblReview[Transaction ID],0))),DATE(YEAR(B20),MONTH(B20),1))</f>
        <v/>
      </c>
      <c r="L20" s="47">
        <f>IFERROR(INDEX(tblReview[Status],MATCH(A20,tblReview[Transaction ID],0)),"Unreviewed")</f>
        <v/>
      </c>
      <c r="M20" s="47">
        <f>IFERROR(INDEX(tblReview[Notes],MATCH(A20,tblReview[Transaction ID],0)),"")</f>
        <v/>
      </c>
    </row>
    <row r="21">
      <c r="A21" t="inlineStr">
        <is>
          <t>SEP-017</t>
        </is>
      </c>
      <c r="B21" s="45" t="n">
        <v>46291</v>
      </c>
      <c r="C21" t="inlineStr">
        <is>
          <t>E-transfer from Friend</t>
        </is>
      </c>
      <c r="D21" t="inlineStr">
        <is>
          <t>Chequing</t>
        </is>
      </c>
      <c r="E21" s="46" t="n">
        <v>60</v>
      </c>
      <c r="F21" t="inlineStr">
        <is>
          <t>Internal Transfer</t>
        </is>
      </c>
      <c r="G21" t="inlineStr">
        <is>
          <t>Bank</t>
        </is>
      </c>
      <c r="H21" s="47">
        <f>IFERROR(IF(INDEX(tblReview[Type Override],MATCH(A21,tblReview[Transaction ID],0))="",F21,INDEX(tblReview[Type Override],MATCH(A21,tblReview[Transaction ID],0))),F21)</f>
        <v/>
      </c>
      <c r="I21" s="47">
        <f>IFERROR(IF(INDEX(tblReview[Category Override],MATCH(A21,tblReview[Transaction ID],0))="",G21,INDEX(tblReview[Category Override],MATCH(A21,tblReview[Transaction ID],0))),G21)</f>
        <v/>
      </c>
      <c r="J21" s="47">
        <f>IFERROR(INDEX(tblReview[Related Transaction],MATCH(A21,tblReview[Transaction ID],0)),"")</f>
        <v/>
      </c>
      <c r="K21" s="48">
        <f>IFERROR(IF(INDEX(tblReview[Applies To Month],MATCH(A21,tblReview[Transaction ID],0))=0,DATE(YEAR(B21),MONTH(B21),1),INDEX(tblReview[Applies To Month],MATCH(A21,tblReview[Transaction ID],0))),DATE(YEAR(B21),MONTH(B21),1))</f>
        <v/>
      </c>
      <c r="L21" s="47">
        <f>IFERROR(INDEX(tblReview[Status],MATCH(A21,tblReview[Transaction ID],0)),"Unreviewed")</f>
        <v/>
      </c>
      <c r="M21" s="47">
        <f>IFERROR(INDEX(tblReview[Notes],MATCH(A21,tblReview[Transaction ID],0)),"")</f>
        <v/>
      </c>
    </row>
    <row r="22">
      <c r="A22" t="inlineStr">
        <is>
          <t>SEP-018</t>
        </is>
      </c>
      <c r="B22" s="45" t="n">
        <v>46293</v>
      </c>
      <c r="C22" t="inlineStr">
        <is>
          <t>Neighbourhood Grocery</t>
        </is>
      </c>
      <c r="D22" t="inlineStr">
        <is>
          <t>Visa</t>
        </is>
      </c>
      <c r="E22" s="46" t="n">
        <v>-140</v>
      </c>
      <c r="F22" t="inlineStr">
        <is>
          <t>Expense</t>
        </is>
      </c>
      <c r="G22" t="inlineStr">
        <is>
          <t>Groceries</t>
        </is>
      </c>
      <c r="H22" s="47">
        <f>IFERROR(IF(INDEX(tblReview[Type Override],MATCH(A22,tblReview[Transaction ID],0))="",F22,INDEX(tblReview[Type Override],MATCH(A22,tblReview[Transaction ID],0))),F22)</f>
        <v/>
      </c>
      <c r="I22" s="47">
        <f>IFERROR(IF(INDEX(tblReview[Category Override],MATCH(A22,tblReview[Transaction ID],0))="",G22,INDEX(tblReview[Category Override],MATCH(A22,tblReview[Transaction ID],0))),G22)</f>
        <v/>
      </c>
      <c r="J22" s="47">
        <f>IFERROR(INDEX(tblReview[Related Transaction],MATCH(A22,tblReview[Transaction ID],0)),"")</f>
        <v/>
      </c>
      <c r="K22" s="48">
        <f>IFERROR(IF(INDEX(tblReview[Applies To Month],MATCH(A22,tblReview[Transaction ID],0))=0,DATE(YEAR(B22),MONTH(B22),1),INDEX(tblReview[Applies To Month],MATCH(A22,tblReview[Transaction ID],0))),DATE(YEAR(B22),MONTH(B22),1))</f>
        <v/>
      </c>
      <c r="L22" s="47">
        <f>IFERROR(INDEX(tblReview[Status],MATCH(A22,tblReview[Transaction ID],0)),"Unreviewed")</f>
        <v/>
      </c>
      <c r="M22" s="47">
        <f>IFERROR(INDEX(tblReview[Notes],MATCH(A22,tblReview[Transaction ID],0)),"")</f>
        <v/>
      </c>
    </row>
    <row r="23">
      <c r="A23" t="inlineStr">
        <is>
          <t>SEP-019</t>
        </is>
      </c>
      <c r="B23" s="45" t="n">
        <v>46295</v>
      </c>
      <c r="C23" t="inlineStr">
        <is>
          <t>Internet Provider</t>
        </is>
      </c>
      <c r="D23" t="inlineStr">
        <is>
          <t>Chequing</t>
        </is>
      </c>
      <c r="E23" s="46" t="n">
        <v>-70</v>
      </c>
      <c r="F23" t="inlineStr">
        <is>
          <t>Expense</t>
        </is>
      </c>
      <c r="G23" t="inlineStr">
        <is>
          <t>Utilities</t>
        </is>
      </c>
      <c r="H23" s="47">
        <f>IFERROR(IF(INDEX(tblReview[Type Override],MATCH(A23,tblReview[Transaction ID],0))="",F23,INDEX(tblReview[Type Override],MATCH(A23,tblReview[Transaction ID],0))),F23)</f>
        <v/>
      </c>
      <c r="I23" s="47">
        <f>IFERROR(IF(INDEX(tblReview[Category Override],MATCH(A23,tblReview[Transaction ID],0))="",G23,INDEX(tblReview[Category Override],MATCH(A23,tblReview[Transaction ID],0))),G23)</f>
        <v/>
      </c>
      <c r="J23" s="47">
        <f>IFERROR(INDEX(tblReview[Related Transaction],MATCH(A23,tblReview[Transaction ID],0)),"")</f>
        <v/>
      </c>
      <c r="K23" s="48">
        <f>IFERROR(IF(INDEX(tblReview[Applies To Month],MATCH(A23,tblReview[Transaction ID],0))=0,DATE(YEAR(B23),MONTH(B23),1),INDEX(tblReview[Applies To Month],MATCH(A23,tblReview[Transaction ID],0))),DATE(YEAR(B23),MONTH(B23),1))</f>
        <v/>
      </c>
      <c r="L23" s="47">
        <f>IFERROR(INDEX(tblReview[Status],MATCH(A23,tblReview[Transaction ID],0)),"Unreviewed")</f>
        <v/>
      </c>
      <c r="M23" s="47">
        <f>IFERROR(INDEX(tblReview[Notes],MATCH(A23,tblReview[Transaction ID],0)),"")</f>
        <v/>
      </c>
    </row>
    <row r="24">
      <c r="A24" t="inlineStr">
        <is>
          <t>OCT-001</t>
        </is>
      </c>
      <c r="B24" s="45" t="n">
        <v>46296</v>
      </c>
      <c r="C24" t="inlineStr">
        <is>
          <t>Payroll Deposit</t>
        </is>
      </c>
      <c r="D24" t="inlineStr">
        <is>
          <t>Chequing</t>
        </is>
      </c>
      <c r="E24" s="46" t="n">
        <v>4000</v>
      </c>
      <c r="F24" t="inlineStr">
        <is>
          <t>Income</t>
        </is>
      </c>
      <c r="G24" t="inlineStr">
        <is>
          <t>Employment</t>
        </is>
      </c>
      <c r="H24" s="47">
        <f>IFERROR(IF(INDEX(tblReview[Type Override],MATCH(A24,tblReview[Transaction ID],0))="",F24,INDEX(tblReview[Type Override],MATCH(A24,tblReview[Transaction ID],0))),F24)</f>
        <v/>
      </c>
      <c r="I24" s="47">
        <f>IFERROR(IF(INDEX(tblReview[Category Override],MATCH(A24,tblReview[Transaction ID],0))="",G24,INDEX(tblReview[Category Override],MATCH(A24,tblReview[Transaction ID],0))),G24)</f>
        <v/>
      </c>
      <c r="J24" s="47">
        <f>IFERROR(INDEX(tblReview[Related Transaction],MATCH(A24,tblReview[Transaction ID],0)),"")</f>
        <v/>
      </c>
      <c r="K24" s="48">
        <f>IFERROR(IF(INDEX(tblReview[Applies To Month],MATCH(A24,tblReview[Transaction ID],0))=0,DATE(YEAR(B24),MONTH(B24),1),INDEX(tblReview[Applies To Month],MATCH(A24,tblReview[Transaction ID],0))),DATE(YEAR(B24),MONTH(B24),1))</f>
        <v/>
      </c>
      <c r="L24" s="47">
        <f>IFERROR(INDEX(tblReview[Status],MATCH(A24,tblReview[Transaction ID],0)),"Unreviewed")</f>
        <v/>
      </c>
      <c r="M24" s="47">
        <f>IFERROR(INDEX(tblReview[Notes],MATCH(A24,tblReview[Transaction ID],0)),"")</f>
        <v/>
      </c>
    </row>
    <row r="25">
      <c r="A25" t="inlineStr">
        <is>
          <t>OCT-002</t>
        </is>
      </c>
      <c r="B25" s="45" t="n">
        <v>46297</v>
      </c>
      <c r="C25" t="inlineStr">
        <is>
          <t>E-transfer to Landlord</t>
        </is>
      </c>
      <c r="D25" t="inlineStr">
        <is>
          <t>Chequing</t>
        </is>
      </c>
      <c r="E25" s="46" t="n">
        <v>-2000</v>
      </c>
      <c r="F25" t="inlineStr">
        <is>
          <t>Expense</t>
        </is>
      </c>
      <c r="G25" t="inlineStr">
        <is>
          <t>Rent</t>
        </is>
      </c>
      <c r="H25" s="47">
        <f>IFERROR(IF(INDEX(tblReview[Type Override],MATCH(A25,tblReview[Transaction ID],0))="",F25,INDEX(tblReview[Type Override],MATCH(A25,tblReview[Transaction ID],0))),F25)</f>
        <v/>
      </c>
      <c r="I25" s="47">
        <f>IFERROR(IF(INDEX(tblReview[Category Override],MATCH(A25,tblReview[Transaction ID],0))="",G25,INDEX(tblReview[Category Override],MATCH(A25,tblReview[Transaction ID],0))),G25)</f>
        <v/>
      </c>
      <c r="J25" s="47">
        <f>IFERROR(INDEX(tblReview[Related Transaction],MATCH(A25,tblReview[Transaction ID],0)),"")</f>
        <v/>
      </c>
      <c r="K25" s="48">
        <f>IFERROR(IF(INDEX(tblReview[Applies To Month],MATCH(A25,tblReview[Transaction ID],0))=0,DATE(YEAR(B25),MONTH(B25),1),INDEX(tblReview[Applies To Month],MATCH(A25,tblReview[Transaction ID],0))),DATE(YEAR(B25),MONTH(B25),1))</f>
        <v/>
      </c>
      <c r="L25" s="47">
        <f>IFERROR(INDEX(tblReview[Status],MATCH(A25,tblReview[Transaction ID],0)),"Unreviewed")</f>
        <v/>
      </c>
      <c r="M25" s="47">
        <f>IFERROR(INDEX(tblReview[Notes],MATCH(A25,tblReview[Transaction ID],0)),"")</f>
        <v/>
      </c>
    </row>
    <row r="26">
      <c r="A26" t="inlineStr">
        <is>
          <t>OCT-003</t>
        </is>
      </c>
      <c r="B26" s="45" t="n">
        <v>46297</v>
      </c>
      <c r="C26" t="inlineStr">
        <is>
          <t>E-transfer from Roommate</t>
        </is>
      </c>
      <c r="D26" t="inlineStr">
        <is>
          <t>Chequing</t>
        </is>
      </c>
      <c r="E26" s="46" t="n">
        <v>1000</v>
      </c>
      <c r="F26" t="inlineStr">
        <is>
          <t>Internal Transfer</t>
        </is>
      </c>
      <c r="G26" t="inlineStr">
        <is>
          <t>Bank</t>
        </is>
      </c>
      <c r="H26" s="47">
        <f>IFERROR(IF(INDEX(tblReview[Type Override],MATCH(A26,tblReview[Transaction ID],0))="",F26,INDEX(tblReview[Type Override],MATCH(A26,tblReview[Transaction ID],0))),F26)</f>
        <v/>
      </c>
      <c r="I26" s="47">
        <f>IFERROR(IF(INDEX(tblReview[Category Override],MATCH(A26,tblReview[Transaction ID],0))="",G26,INDEX(tblReview[Category Override],MATCH(A26,tblReview[Transaction ID],0))),G26)</f>
        <v/>
      </c>
      <c r="J26" s="47">
        <f>IFERROR(INDEX(tblReview[Related Transaction],MATCH(A26,tblReview[Transaction ID],0)),"")</f>
        <v/>
      </c>
      <c r="K26" s="48">
        <f>IFERROR(IF(INDEX(tblReview[Applies To Month],MATCH(A26,tblReview[Transaction ID],0))=0,DATE(YEAR(B26),MONTH(B26),1),INDEX(tblReview[Applies To Month],MATCH(A26,tblReview[Transaction ID],0))),DATE(YEAR(B26),MONTH(B26),1))</f>
        <v/>
      </c>
      <c r="L26" s="47">
        <f>IFERROR(INDEX(tblReview[Status],MATCH(A26,tblReview[Transaction ID],0)),"Unreviewed")</f>
        <v/>
      </c>
      <c r="M26" s="47">
        <f>IFERROR(INDEX(tblReview[Notes],MATCH(A26,tblReview[Transaction ID],0)),"")</f>
        <v/>
      </c>
    </row>
    <row r="27">
      <c r="A27" t="inlineStr">
        <is>
          <t>OCT-004</t>
        </is>
      </c>
      <c r="B27" s="45" t="n">
        <v>46298</v>
      </c>
      <c r="C27" t="inlineStr">
        <is>
          <t>Neighbourhood Grocery</t>
        </is>
      </c>
      <c r="D27" t="inlineStr">
        <is>
          <t>Visa</t>
        </is>
      </c>
      <c r="E27" s="46" t="n">
        <v>-185.4</v>
      </c>
      <c r="F27" t="inlineStr">
        <is>
          <t>Expense</t>
        </is>
      </c>
      <c r="G27" t="inlineStr">
        <is>
          <t>Groceries</t>
        </is>
      </c>
      <c r="H27" s="47">
        <f>IFERROR(IF(INDEX(tblReview[Type Override],MATCH(A27,tblReview[Transaction ID],0))="",F27,INDEX(tblReview[Type Override],MATCH(A27,tblReview[Transaction ID],0))),F27)</f>
        <v/>
      </c>
      <c r="I27" s="47">
        <f>IFERROR(IF(INDEX(tblReview[Category Override],MATCH(A27,tblReview[Transaction ID],0))="",G27,INDEX(tblReview[Category Override],MATCH(A27,tblReview[Transaction ID],0))),G27)</f>
        <v/>
      </c>
      <c r="J27" s="47">
        <f>IFERROR(INDEX(tblReview[Related Transaction],MATCH(A27,tblReview[Transaction ID],0)),"")</f>
        <v/>
      </c>
      <c r="K27" s="48">
        <f>IFERROR(IF(INDEX(tblReview[Applies To Month],MATCH(A27,tblReview[Transaction ID],0))=0,DATE(YEAR(B27),MONTH(B27),1),INDEX(tblReview[Applies To Month],MATCH(A27,tblReview[Transaction ID],0))),DATE(YEAR(B27),MONTH(B27),1))</f>
        <v/>
      </c>
      <c r="L27" s="47">
        <f>IFERROR(INDEX(tblReview[Status],MATCH(A27,tblReview[Transaction ID],0)),"Unreviewed")</f>
        <v/>
      </c>
      <c r="M27" s="47">
        <f>IFERROR(INDEX(tblReview[Notes],MATCH(A27,tblReview[Transaction ID],0)),"")</f>
        <v/>
      </c>
    </row>
    <row r="28">
      <c r="A28" t="inlineStr">
        <is>
          <t>OCT-005</t>
        </is>
      </c>
      <c r="B28" s="45" t="n">
        <v>46299</v>
      </c>
      <c r="C28" t="inlineStr">
        <is>
          <t>Dinner with Friends</t>
        </is>
      </c>
      <c r="D28" t="inlineStr">
        <is>
          <t>Visa</t>
        </is>
      </c>
      <c r="E28" s="46" t="n">
        <v>-150</v>
      </c>
      <c r="F28" t="inlineStr">
        <is>
          <t>Expense</t>
        </is>
      </c>
      <c r="G28" t="inlineStr">
        <is>
          <t>Restaurants</t>
        </is>
      </c>
      <c r="H28" s="47">
        <f>IFERROR(IF(INDEX(tblReview[Type Override],MATCH(A28,tblReview[Transaction ID],0))="",F28,INDEX(tblReview[Type Override],MATCH(A28,tblReview[Transaction ID],0))),F28)</f>
        <v/>
      </c>
      <c r="I28" s="47">
        <f>IFERROR(IF(INDEX(tblReview[Category Override],MATCH(A28,tblReview[Transaction ID],0))="",G28,INDEX(tblReview[Category Override],MATCH(A28,tblReview[Transaction ID],0))),G28)</f>
        <v/>
      </c>
      <c r="J28" s="47">
        <f>IFERROR(INDEX(tblReview[Related Transaction],MATCH(A28,tblReview[Transaction ID],0)),"")</f>
        <v/>
      </c>
      <c r="K28" s="48">
        <f>IFERROR(IF(INDEX(tblReview[Applies To Month],MATCH(A28,tblReview[Transaction ID],0))=0,DATE(YEAR(B28),MONTH(B28),1),INDEX(tblReview[Applies To Month],MATCH(A28,tblReview[Transaction ID],0))),DATE(YEAR(B28),MONTH(B28),1))</f>
        <v/>
      </c>
      <c r="L28" s="47">
        <f>IFERROR(INDEX(tblReview[Status],MATCH(A28,tblReview[Transaction ID],0)),"Unreviewed")</f>
        <v/>
      </c>
      <c r="M28" s="47">
        <f>IFERROR(INDEX(tblReview[Notes],MATCH(A28,tblReview[Transaction ID],0)),"")</f>
        <v/>
      </c>
    </row>
    <row r="29">
      <c r="A29" t="inlineStr">
        <is>
          <t>OCT-006</t>
        </is>
      </c>
      <c r="B29" s="45" t="n">
        <v>46300</v>
      </c>
      <c r="C29" t="inlineStr">
        <is>
          <t>E-transfer from Friend</t>
        </is>
      </c>
      <c r="D29" t="inlineStr">
        <is>
          <t>Chequing</t>
        </is>
      </c>
      <c r="E29" s="46" t="n">
        <v>100</v>
      </c>
      <c r="F29" t="inlineStr">
        <is>
          <t>Internal Transfer</t>
        </is>
      </c>
      <c r="G29" t="inlineStr">
        <is>
          <t>Bank</t>
        </is>
      </c>
      <c r="H29" s="47">
        <f>IFERROR(IF(INDEX(tblReview[Type Override],MATCH(A29,tblReview[Transaction ID],0))="",F29,INDEX(tblReview[Type Override],MATCH(A29,tblReview[Transaction ID],0))),F29)</f>
        <v/>
      </c>
      <c r="I29" s="47">
        <f>IFERROR(IF(INDEX(tblReview[Category Override],MATCH(A29,tblReview[Transaction ID],0))="",G29,INDEX(tblReview[Category Override],MATCH(A29,tblReview[Transaction ID],0))),G29)</f>
        <v/>
      </c>
      <c r="J29" s="47">
        <f>IFERROR(INDEX(tblReview[Related Transaction],MATCH(A29,tblReview[Transaction ID],0)),"")</f>
        <v/>
      </c>
      <c r="K29" s="48">
        <f>IFERROR(IF(INDEX(tblReview[Applies To Month],MATCH(A29,tblReview[Transaction ID],0))=0,DATE(YEAR(B29),MONTH(B29),1),INDEX(tblReview[Applies To Month],MATCH(A29,tblReview[Transaction ID],0))),DATE(YEAR(B29),MONTH(B29),1))</f>
        <v/>
      </c>
      <c r="L29" s="47">
        <f>IFERROR(INDEX(tblReview[Status],MATCH(A29,tblReview[Transaction ID],0)),"Unreviewed")</f>
        <v/>
      </c>
      <c r="M29" s="47">
        <f>IFERROR(INDEX(tblReview[Notes],MATCH(A29,tblReview[Transaction ID],0)),"")</f>
        <v/>
      </c>
    </row>
    <row r="30">
      <c r="A30" t="inlineStr">
        <is>
          <t>OCT-007</t>
        </is>
      </c>
      <c r="B30" s="45" t="n">
        <v>46300</v>
      </c>
      <c r="C30" t="inlineStr">
        <is>
          <t>Transfer to Vacation Savings</t>
        </is>
      </c>
      <c r="D30" t="inlineStr">
        <is>
          <t>Chequing</t>
        </is>
      </c>
      <c r="E30" s="46" t="n">
        <v>-300</v>
      </c>
      <c r="F30" t="inlineStr">
        <is>
          <t>Internal Transfer</t>
        </is>
      </c>
      <c r="G30" t="inlineStr">
        <is>
          <t>Transfer</t>
        </is>
      </c>
      <c r="H30" s="47">
        <f>IFERROR(IF(INDEX(tblReview[Type Override],MATCH(A30,tblReview[Transaction ID],0))="",F30,INDEX(tblReview[Type Override],MATCH(A30,tblReview[Transaction ID],0))),F30)</f>
        <v/>
      </c>
      <c r="I30" s="47">
        <f>IFERROR(IF(INDEX(tblReview[Category Override],MATCH(A30,tblReview[Transaction ID],0))="",G30,INDEX(tblReview[Category Override],MATCH(A30,tblReview[Transaction ID],0))),G30)</f>
        <v/>
      </c>
      <c r="J30" s="47">
        <f>IFERROR(INDEX(tblReview[Related Transaction],MATCH(A30,tblReview[Transaction ID],0)),"")</f>
        <v/>
      </c>
      <c r="K30" s="48">
        <f>IFERROR(IF(INDEX(tblReview[Applies To Month],MATCH(A30,tblReview[Transaction ID],0))=0,DATE(YEAR(B30),MONTH(B30),1),INDEX(tblReview[Applies To Month],MATCH(A30,tblReview[Transaction ID],0))),DATE(YEAR(B30),MONTH(B30),1))</f>
        <v/>
      </c>
      <c r="L30" s="47">
        <f>IFERROR(INDEX(tblReview[Status],MATCH(A30,tblReview[Transaction ID],0)),"Unreviewed")</f>
        <v/>
      </c>
      <c r="M30" s="47">
        <f>IFERROR(INDEX(tblReview[Notes],MATCH(A30,tblReview[Transaction ID],0)),"")</f>
        <v/>
      </c>
    </row>
    <row r="31">
      <c r="A31" t="inlineStr">
        <is>
          <t>OCT-008</t>
        </is>
      </c>
      <c r="B31" s="45" t="n">
        <v>46300</v>
      </c>
      <c r="C31" t="inlineStr">
        <is>
          <t>Transfer from Chequing</t>
        </is>
      </c>
      <c r="D31" t="inlineStr">
        <is>
          <t>Savings</t>
        </is>
      </c>
      <c r="E31" s="46" t="n">
        <v>300</v>
      </c>
      <c r="F31" t="inlineStr">
        <is>
          <t>Internal Transfer</t>
        </is>
      </c>
      <c r="G31" t="inlineStr">
        <is>
          <t>Transfer</t>
        </is>
      </c>
      <c r="H31" s="47">
        <f>IFERROR(IF(INDEX(tblReview[Type Override],MATCH(A31,tblReview[Transaction ID],0))="",F31,INDEX(tblReview[Type Override],MATCH(A31,tblReview[Transaction ID],0))),F31)</f>
        <v/>
      </c>
      <c r="I31" s="47">
        <f>IFERROR(IF(INDEX(tblReview[Category Override],MATCH(A31,tblReview[Transaction ID],0))="",G31,INDEX(tblReview[Category Override],MATCH(A31,tblReview[Transaction ID],0))),G31)</f>
        <v/>
      </c>
      <c r="J31" s="47">
        <f>IFERROR(INDEX(tblReview[Related Transaction],MATCH(A31,tblReview[Transaction ID],0)),"")</f>
        <v/>
      </c>
      <c r="K31" s="48">
        <f>IFERROR(IF(INDEX(tblReview[Applies To Month],MATCH(A31,tblReview[Transaction ID],0))=0,DATE(YEAR(B31),MONTH(B31),1),INDEX(tblReview[Applies To Month],MATCH(A31,tblReview[Transaction ID],0))),DATE(YEAR(B31),MONTH(B31),1))</f>
        <v/>
      </c>
      <c r="L31" s="47">
        <f>IFERROR(INDEX(tblReview[Status],MATCH(A31,tblReview[Transaction ID],0)),"Unreviewed")</f>
        <v/>
      </c>
      <c r="M31" s="47">
        <f>IFERROR(INDEX(tblReview[Notes],MATCH(A31,tblReview[Transaction ID],0)),"")</f>
        <v/>
      </c>
    </row>
    <row r="32">
      <c r="A32" t="inlineStr">
        <is>
          <t>OCT-009</t>
        </is>
      </c>
      <c r="B32" s="45" t="n">
        <v>46301</v>
      </c>
      <c r="C32" t="inlineStr">
        <is>
          <t>Investment Account Contribution</t>
        </is>
      </c>
      <c r="D32" t="inlineStr">
        <is>
          <t>Chequing</t>
        </is>
      </c>
      <c r="E32" s="46" t="n">
        <v>-500</v>
      </c>
      <c r="F32" t="inlineStr">
        <is>
          <t>Internal Transfer</t>
        </is>
      </c>
      <c r="G32" t="inlineStr">
        <is>
          <t>Transfer</t>
        </is>
      </c>
      <c r="H32" s="47">
        <f>IFERROR(IF(INDEX(tblReview[Type Override],MATCH(A32,tblReview[Transaction ID],0))="",F32,INDEX(tblReview[Type Override],MATCH(A32,tblReview[Transaction ID],0))),F32)</f>
        <v/>
      </c>
      <c r="I32" s="47">
        <f>IFERROR(IF(INDEX(tblReview[Category Override],MATCH(A32,tblReview[Transaction ID],0))="",G32,INDEX(tblReview[Category Override],MATCH(A32,tblReview[Transaction ID],0))),G32)</f>
        <v/>
      </c>
      <c r="J32" s="47">
        <f>IFERROR(INDEX(tblReview[Related Transaction],MATCH(A32,tblReview[Transaction ID],0)),"")</f>
        <v/>
      </c>
      <c r="K32" s="48">
        <f>IFERROR(IF(INDEX(tblReview[Applies To Month],MATCH(A32,tblReview[Transaction ID],0))=0,DATE(YEAR(B32),MONTH(B32),1),INDEX(tblReview[Applies To Month],MATCH(A32,tblReview[Transaction ID],0))),DATE(YEAR(B32),MONTH(B32),1))</f>
        <v/>
      </c>
      <c r="L32" s="47">
        <f>IFERROR(INDEX(tblReview[Status],MATCH(A32,tblReview[Transaction ID],0)),"Unreviewed")</f>
        <v/>
      </c>
      <c r="M32" s="47">
        <f>IFERROR(INDEX(tblReview[Notes],MATCH(A32,tblReview[Transaction ID],0)),"")</f>
        <v/>
      </c>
    </row>
    <row r="33">
      <c r="A33" t="inlineStr">
        <is>
          <t>OCT-010</t>
        </is>
      </c>
      <c r="B33" s="45" t="n">
        <v>46302</v>
      </c>
      <c r="C33" t="inlineStr">
        <is>
          <t>Fuel Station</t>
        </is>
      </c>
      <c r="D33" t="inlineStr">
        <is>
          <t>Visa</t>
        </is>
      </c>
      <c r="E33" s="46" t="n">
        <v>-72</v>
      </c>
      <c r="F33" t="inlineStr">
        <is>
          <t>Expense</t>
        </is>
      </c>
      <c r="G33" t="inlineStr">
        <is>
          <t>Transportation</t>
        </is>
      </c>
      <c r="H33" s="47">
        <f>IFERROR(IF(INDEX(tblReview[Type Override],MATCH(A33,tblReview[Transaction ID],0))="",F33,INDEX(tblReview[Type Override],MATCH(A33,tblReview[Transaction ID],0))),F33)</f>
        <v/>
      </c>
      <c r="I33" s="47">
        <f>IFERROR(IF(INDEX(tblReview[Category Override],MATCH(A33,tblReview[Transaction ID],0))="",G33,INDEX(tblReview[Category Override],MATCH(A33,tblReview[Transaction ID],0))),G33)</f>
        <v/>
      </c>
      <c r="J33" s="47">
        <f>IFERROR(INDEX(tblReview[Related Transaction],MATCH(A33,tblReview[Transaction ID],0)),"")</f>
        <v/>
      </c>
      <c r="K33" s="48">
        <f>IFERROR(IF(INDEX(tblReview[Applies To Month],MATCH(A33,tblReview[Transaction ID],0))=0,DATE(YEAR(B33),MONTH(B33),1),INDEX(tblReview[Applies To Month],MATCH(A33,tblReview[Transaction ID],0))),DATE(YEAR(B33),MONTH(B33),1))</f>
        <v/>
      </c>
      <c r="L33" s="47">
        <f>IFERROR(INDEX(tblReview[Status],MATCH(A33,tblReview[Transaction ID],0)),"Unreviewed")</f>
        <v/>
      </c>
      <c r="M33" s="47">
        <f>IFERROR(INDEX(tblReview[Notes],MATCH(A33,tblReview[Transaction ID],0)),"")</f>
        <v/>
      </c>
    </row>
    <row r="34">
      <c r="A34" t="inlineStr">
        <is>
          <t>OCT-011</t>
        </is>
      </c>
      <c r="B34" s="45" t="n">
        <v>46303</v>
      </c>
      <c r="C34" t="inlineStr">
        <is>
          <t>Hydro Company</t>
        </is>
      </c>
      <c r="D34" t="inlineStr">
        <is>
          <t>Chequing</t>
        </is>
      </c>
      <c r="E34" s="46" t="n">
        <v>-140</v>
      </c>
      <c r="F34" t="inlineStr">
        <is>
          <t>Expense</t>
        </is>
      </c>
      <c r="G34" t="inlineStr">
        <is>
          <t>Utilities</t>
        </is>
      </c>
      <c r="H34" s="47">
        <f>IFERROR(IF(INDEX(tblReview[Type Override],MATCH(A34,tblReview[Transaction ID],0))="",F34,INDEX(tblReview[Type Override],MATCH(A34,tblReview[Transaction ID],0))),F34)</f>
        <v/>
      </c>
      <c r="I34" s="47">
        <f>IFERROR(IF(INDEX(tblReview[Category Override],MATCH(A34,tblReview[Transaction ID],0))="",G34,INDEX(tblReview[Category Override],MATCH(A34,tblReview[Transaction ID],0))),G34)</f>
        <v/>
      </c>
      <c r="J34" s="47">
        <f>IFERROR(INDEX(tblReview[Related Transaction],MATCH(A34,tblReview[Transaction ID],0)),"")</f>
        <v/>
      </c>
      <c r="K34" s="48">
        <f>IFERROR(IF(INDEX(tblReview[Applies To Month],MATCH(A34,tblReview[Transaction ID],0))=0,DATE(YEAR(B34),MONTH(B34),1),INDEX(tblReview[Applies To Month],MATCH(A34,tblReview[Transaction ID],0))),DATE(YEAR(B34),MONTH(B34),1))</f>
        <v/>
      </c>
      <c r="L34" s="47">
        <f>IFERROR(INDEX(tblReview[Status],MATCH(A34,tblReview[Transaction ID],0)),"Unreviewed")</f>
        <v/>
      </c>
      <c r="M34" s="47">
        <f>IFERROR(INDEX(tblReview[Notes],MATCH(A34,tblReview[Transaction ID],0)),"")</f>
        <v/>
      </c>
    </row>
    <row r="35">
      <c r="A35" t="inlineStr">
        <is>
          <t>OCT-012</t>
        </is>
      </c>
      <c r="B35" s="45" t="n">
        <v>46304</v>
      </c>
      <c r="C35" t="inlineStr">
        <is>
          <t>Streaming Service</t>
        </is>
      </c>
      <c r="D35" t="inlineStr">
        <is>
          <t>Visa</t>
        </is>
      </c>
      <c r="E35" s="46" t="n">
        <v>-15</v>
      </c>
      <c r="F35" t="inlineStr">
        <is>
          <t>Expense</t>
        </is>
      </c>
      <c r="G35" t="inlineStr">
        <is>
          <t>Subscriptions</t>
        </is>
      </c>
      <c r="H35" s="47">
        <f>IFERROR(IF(INDEX(tblReview[Type Override],MATCH(A35,tblReview[Transaction ID],0))="",F35,INDEX(tblReview[Type Override],MATCH(A35,tblReview[Transaction ID],0))),F35)</f>
        <v/>
      </c>
      <c r="I35" s="47">
        <f>IFERROR(IF(INDEX(tblReview[Category Override],MATCH(A35,tblReview[Transaction ID],0))="",G35,INDEX(tblReview[Category Override],MATCH(A35,tblReview[Transaction ID],0))),G35)</f>
        <v/>
      </c>
      <c r="J35" s="47">
        <f>IFERROR(INDEX(tblReview[Related Transaction],MATCH(A35,tblReview[Transaction ID],0)),"")</f>
        <v/>
      </c>
      <c r="K35" s="48">
        <f>IFERROR(IF(INDEX(tblReview[Applies To Month],MATCH(A35,tblReview[Transaction ID],0))=0,DATE(YEAR(B35),MONTH(B35),1),INDEX(tblReview[Applies To Month],MATCH(A35,tblReview[Transaction ID],0))),DATE(YEAR(B35),MONTH(B35),1))</f>
        <v/>
      </c>
      <c r="L35" s="47">
        <f>IFERROR(INDEX(tblReview[Status],MATCH(A35,tblReview[Transaction ID],0)),"Unreviewed")</f>
        <v/>
      </c>
      <c r="M35" s="47">
        <f>IFERROR(INDEX(tblReview[Notes],MATCH(A35,tblReview[Transaction ID],0)),"")</f>
        <v/>
      </c>
    </row>
    <row r="36">
      <c r="A36" t="inlineStr">
        <is>
          <t>OCT-013</t>
        </is>
      </c>
      <c r="B36" s="45" t="n">
        <v>46305</v>
      </c>
      <c r="C36" t="inlineStr">
        <is>
          <t>Visa Payment</t>
        </is>
      </c>
      <c r="D36" t="inlineStr">
        <is>
          <t>Chequing</t>
        </is>
      </c>
      <c r="E36" s="46" t="n">
        <v>-500</v>
      </c>
      <c r="F36" t="inlineStr">
        <is>
          <t>Internal Transfer</t>
        </is>
      </c>
      <c r="G36" t="inlineStr">
        <is>
          <t>Transfer</t>
        </is>
      </c>
      <c r="H36" s="47">
        <f>IFERROR(IF(INDEX(tblReview[Type Override],MATCH(A36,tblReview[Transaction ID],0))="",F36,INDEX(tblReview[Type Override],MATCH(A36,tblReview[Transaction ID],0))),F36)</f>
        <v/>
      </c>
      <c r="I36" s="47">
        <f>IFERROR(IF(INDEX(tblReview[Category Override],MATCH(A36,tblReview[Transaction ID],0))="",G36,INDEX(tblReview[Category Override],MATCH(A36,tblReview[Transaction ID],0))),G36)</f>
        <v/>
      </c>
      <c r="J36" s="47">
        <f>IFERROR(INDEX(tblReview[Related Transaction],MATCH(A36,tblReview[Transaction ID],0)),"")</f>
        <v/>
      </c>
      <c r="K36" s="48">
        <f>IFERROR(IF(INDEX(tblReview[Applies To Month],MATCH(A36,tblReview[Transaction ID],0))=0,DATE(YEAR(B36),MONTH(B36),1),INDEX(tblReview[Applies To Month],MATCH(A36,tblReview[Transaction ID],0))),DATE(YEAR(B36),MONTH(B36),1))</f>
        <v/>
      </c>
      <c r="L36" s="47">
        <f>IFERROR(INDEX(tblReview[Status],MATCH(A36,tblReview[Transaction ID],0)),"Unreviewed")</f>
        <v/>
      </c>
      <c r="M36" s="47">
        <f>IFERROR(INDEX(tblReview[Notes],MATCH(A36,tblReview[Transaction ID],0)),"")</f>
        <v/>
      </c>
    </row>
    <row r="37">
      <c r="A37" t="inlineStr">
        <is>
          <t>OCT-013B</t>
        </is>
      </c>
      <c r="B37" s="45" t="n">
        <v>46305</v>
      </c>
      <c r="C37" t="inlineStr">
        <is>
          <t>Payment Received</t>
        </is>
      </c>
      <c r="D37" t="inlineStr">
        <is>
          <t>Visa</t>
        </is>
      </c>
      <c r="E37" s="46" t="n">
        <v>500</v>
      </c>
      <c r="F37" t="inlineStr">
        <is>
          <t>Internal Transfer</t>
        </is>
      </c>
      <c r="G37" t="inlineStr">
        <is>
          <t>Transfer</t>
        </is>
      </c>
      <c r="H37" s="47">
        <f>IFERROR(IF(INDEX(tblReview[Type Override],MATCH(A37,tblReview[Transaction ID],0))="",F37,INDEX(tblReview[Type Override],MATCH(A37,tblReview[Transaction ID],0))),F37)</f>
        <v/>
      </c>
      <c r="I37" s="47">
        <f>IFERROR(IF(INDEX(tblReview[Category Override],MATCH(A37,tblReview[Transaction ID],0))="",G37,INDEX(tblReview[Category Override],MATCH(A37,tblReview[Transaction ID],0))),G37)</f>
        <v/>
      </c>
      <c r="J37" s="47">
        <f>IFERROR(INDEX(tblReview[Related Transaction],MATCH(A37,tblReview[Transaction ID],0)),"")</f>
        <v/>
      </c>
      <c r="K37" s="48">
        <f>IFERROR(IF(INDEX(tblReview[Applies To Month],MATCH(A37,tblReview[Transaction ID],0))=0,DATE(YEAR(B37),MONTH(B37),1),INDEX(tblReview[Applies To Month],MATCH(A37,tblReview[Transaction ID],0))),DATE(YEAR(B37),MONTH(B37),1))</f>
        <v/>
      </c>
      <c r="L37" s="47">
        <f>IFERROR(INDEX(tblReview[Status],MATCH(A37,tblReview[Transaction ID],0)),"Unreviewed")</f>
        <v/>
      </c>
      <c r="M37" s="47">
        <f>IFERROR(INDEX(tblReview[Notes],MATCH(A37,tblReview[Transaction ID],0)),"")</f>
        <v/>
      </c>
    </row>
    <row r="38">
      <c r="A38" t="inlineStr">
        <is>
          <t>OCT-014</t>
        </is>
      </c>
      <c r="B38" s="45" t="n">
        <v>46307</v>
      </c>
      <c r="C38" t="inlineStr">
        <is>
          <t>Personal Purchase</t>
        </is>
      </c>
      <c r="D38" t="inlineStr">
        <is>
          <t>Visa</t>
        </is>
      </c>
      <c r="E38" s="46" t="n">
        <v>-65</v>
      </c>
      <c r="F38" t="inlineStr">
        <is>
          <t>Expense</t>
        </is>
      </c>
      <c r="G38" t="inlineStr">
        <is>
          <t>Personal</t>
        </is>
      </c>
      <c r="H38" s="47">
        <f>IFERROR(IF(INDEX(tblReview[Type Override],MATCH(A38,tblReview[Transaction ID],0))="",F38,INDEX(tblReview[Type Override],MATCH(A38,tblReview[Transaction ID],0))),F38)</f>
        <v/>
      </c>
      <c r="I38" s="47">
        <f>IFERROR(IF(INDEX(tblReview[Category Override],MATCH(A38,tblReview[Transaction ID],0))="",G38,INDEX(tblReview[Category Override],MATCH(A38,tblReview[Transaction ID],0))),G38)</f>
        <v/>
      </c>
      <c r="J38" s="47">
        <f>IFERROR(INDEX(tblReview[Related Transaction],MATCH(A38,tblReview[Transaction ID],0)),"")</f>
        <v/>
      </c>
      <c r="K38" s="48">
        <f>IFERROR(IF(INDEX(tblReview[Applies To Month],MATCH(A38,tblReview[Transaction ID],0))=0,DATE(YEAR(B38),MONTH(B38),1),INDEX(tblReview[Applies To Month],MATCH(A38,tblReview[Transaction ID],0))),DATE(YEAR(B38),MONTH(B38),1))</f>
        <v/>
      </c>
      <c r="L38" s="47">
        <f>IFERROR(INDEX(tblReview[Status],MATCH(A38,tblReview[Transaction ID],0)),"Unreviewed")</f>
        <v/>
      </c>
      <c r="M38" s="47">
        <f>IFERROR(INDEX(tblReview[Notes],MATCH(A38,tblReview[Transaction ID],0)),"")</f>
        <v/>
      </c>
    </row>
    <row r="39">
      <c r="A39" t="inlineStr">
        <is>
          <t>OCT-015</t>
        </is>
      </c>
      <c r="B39" s="45" t="n">
        <v>46308</v>
      </c>
      <c r="C39" t="inlineStr">
        <is>
          <t>Neighbourhood Grocery</t>
        </is>
      </c>
      <c r="D39" t="inlineStr">
        <is>
          <t>Visa</t>
        </is>
      </c>
      <c r="E39" s="46" t="n">
        <v>-95.59999999999999</v>
      </c>
      <c r="F39" t="inlineStr">
        <is>
          <t>Expense</t>
        </is>
      </c>
      <c r="G39" t="inlineStr">
        <is>
          <t>Groceries</t>
        </is>
      </c>
      <c r="H39" s="47">
        <f>IFERROR(IF(INDEX(tblReview[Type Override],MATCH(A39,tblReview[Transaction ID],0))="",F39,INDEX(tblReview[Type Override],MATCH(A39,tblReview[Transaction ID],0))),F39)</f>
        <v/>
      </c>
      <c r="I39" s="47">
        <f>IFERROR(IF(INDEX(tblReview[Category Override],MATCH(A39,tblReview[Transaction ID],0))="",G39,INDEX(tblReview[Category Override],MATCH(A39,tblReview[Transaction ID],0))),G39)</f>
        <v/>
      </c>
      <c r="J39" s="47">
        <f>IFERROR(INDEX(tblReview[Related Transaction],MATCH(A39,tblReview[Transaction ID],0)),"")</f>
        <v/>
      </c>
      <c r="K39" s="48">
        <f>IFERROR(IF(INDEX(tblReview[Applies To Month],MATCH(A39,tblReview[Transaction ID],0))=0,DATE(YEAR(B39),MONTH(B39),1),INDEX(tblReview[Applies To Month],MATCH(A39,tblReview[Transaction ID],0))),DATE(YEAR(B39),MONTH(B39),1))</f>
        <v/>
      </c>
      <c r="L39" s="47">
        <f>IFERROR(INDEX(tblReview[Status],MATCH(A39,tblReview[Transaction ID],0)),"Unreviewed")</f>
        <v/>
      </c>
      <c r="M39" s="47">
        <f>IFERROR(INDEX(tblReview[Notes],MATCH(A39,tblReview[Transaction ID],0)),"")</f>
        <v/>
      </c>
    </row>
  </sheetData>
  <mergeCells count="2">
    <mergeCell ref="A2:M2"/>
    <mergeCell ref="A1:M1"/>
  </mergeCells>
  <conditionalFormatting sqref="L5:L39">
    <cfRule type="expression" priority="1" dxfId="1">
      <formula>L5="Verified"</formula>
    </cfRule>
    <cfRule type="expression" priority="2" dxfId="4">
      <formula>L5&lt;&gt;"Verified"</formula>
    </cfRule>
  </conditionalFormatting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G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0" customWidth="1" min="3" max="3"/>
    <col width="24" customWidth="1" min="4" max="4"/>
    <col width="26" customWidth="1" min="5" max="5"/>
    <col width="20" customWidth="1" min="6" max="6"/>
    <col width="36" customWidth="1" min="7" max="7"/>
  </cols>
  <sheetData>
    <row r="1" ht="28" customHeight="1">
      <c r="A1" s="43" t="inlineStr">
        <is>
          <t>Transaction Review &amp; Overrides</t>
        </is>
      </c>
    </row>
    <row r="2" ht="32" customHeight="1">
      <c r="A2" s="49" t="inlineStr">
        <is>
          <t>Edit this yellow table—not imported Power Query rows. Transaction ID keeps every decision attached after refresh.</t>
        </is>
      </c>
    </row>
    <row r="3">
      <c r="A3" s="16" t="inlineStr">
        <is>
          <t>← Start Here</t>
        </is>
      </c>
      <c r="B3" s="16" t="inlineStr">
        <is>
          <t>October</t>
        </is>
      </c>
      <c r="C3" s="16" t="inlineStr">
        <is>
          <t>September</t>
        </is>
      </c>
      <c r="D3" s="16" t="inlineStr">
        <is>
          <t>Transactions</t>
        </is>
      </c>
    </row>
    <row r="4">
      <c r="A4" t="inlineStr">
        <is>
          <t>Transaction ID</t>
        </is>
      </c>
      <c r="B4" t="inlineStr">
        <is>
          <t>Status</t>
        </is>
      </c>
      <c r="C4" t="inlineStr">
        <is>
          <t>Type Override</t>
        </is>
      </c>
      <c r="D4" t="inlineStr">
        <is>
          <t>Category Override</t>
        </is>
      </c>
      <c r="E4" t="inlineStr">
        <is>
          <t>Related Transaction</t>
        </is>
      </c>
      <c r="F4" t="inlineStr">
        <is>
          <t>Applies To Month</t>
        </is>
      </c>
      <c r="G4" t="inlineStr">
        <is>
          <t>Notes</t>
        </is>
      </c>
    </row>
    <row r="5">
      <c r="A5" s="50" t="inlineStr">
        <is>
          <t>SEP-001</t>
        </is>
      </c>
      <c r="B5" s="50" t="inlineStr">
        <is>
          <t>Verified</t>
        </is>
      </c>
      <c r="C5" s="50" t="inlineStr"/>
      <c r="D5" s="50" t="inlineStr"/>
      <c r="E5" s="50" t="inlineStr"/>
      <c r="F5" s="51" t="n">
        <v>46266</v>
      </c>
      <c r="G5" s="50" t="inlineStr"/>
    </row>
    <row r="6">
      <c r="A6" s="50" t="inlineStr">
        <is>
          <t>SEP-002</t>
        </is>
      </c>
      <c r="B6" s="50" t="inlineStr">
        <is>
          <t>Verified</t>
        </is>
      </c>
      <c r="C6" s="50" t="inlineStr"/>
      <c r="D6" s="50" t="inlineStr"/>
      <c r="E6" s="50" t="inlineStr">
        <is>
          <t>RENT-2026-09</t>
        </is>
      </c>
      <c r="F6" s="51" t="n">
        <v>46266</v>
      </c>
      <c r="G6" s="50" t="inlineStr">
        <is>
          <t>Full rent paid</t>
        </is>
      </c>
    </row>
    <row r="7">
      <c r="A7" s="50" t="inlineStr">
        <is>
          <t>SEP-003</t>
        </is>
      </c>
      <c r="B7" s="50" t="inlineStr">
        <is>
          <t>Verified</t>
        </is>
      </c>
      <c r="C7" s="50" t="inlineStr">
        <is>
          <t>Reimbursement Received</t>
        </is>
      </c>
      <c r="D7" s="50" t="inlineStr">
        <is>
          <t>Rent</t>
        </is>
      </c>
      <c r="E7" s="50" t="inlineStr">
        <is>
          <t>RENT-2026-09</t>
        </is>
      </c>
      <c r="F7" s="51" t="n">
        <v>46266</v>
      </c>
      <c r="G7" s="50" t="inlineStr">
        <is>
          <t>Roommate's share</t>
        </is>
      </c>
    </row>
    <row r="8">
      <c r="A8" s="50" t="inlineStr">
        <is>
          <t>SEP-004</t>
        </is>
      </c>
      <c r="B8" s="50" t="inlineStr">
        <is>
          <t>Verified</t>
        </is>
      </c>
      <c r="C8" s="50" t="inlineStr">
        <is>
          <t>Sinking Fund Contribution</t>
        </is>
      </c>
      <c r="D8" s="50" t="inlineStr">
        <is>
          <t>Vacation Fund</t>
        </is>
      </c>
      <c r="E8" s="50" t="inlineStr">
        <is>
          <t>VACATION-2026-09</t>
        </is>
      </c>
      <c r="F8" s="51" t="n">
        <v>46266</v>
      </c>
      <c r="G8" s="50" t="inlineStr"/>
    </row>
    <row r="9">
      <c r="A9" s="50" t="inlineStr">
        <is>
          <t>SEP-005</t>
        </is>
      </c>
      <c r="B9" s="50" t="inlineStr">
        <is>
          <t>Verified</t>
        </is>
      </c>
      <c r="C9" s="50" t="inlineStr"/>
      <c r="D9" s="50" t="inlineStr"/>
      <c r="E9" s="50" t="inlineStr">
        <is>
          <t>VACATION-2026-09</t>
        </is>
      </c>
      <c r="F9" s="51" t="n">
        <v>46266</v>
      </c>
      <c r="G9" s="50" t="inlineStr">
        <is>
          <t>Matching account transfer</t>
        </is>
      </c>
    </row>
    <row r="10">
      <c r="A10" s="50" t="inlineStr">
        <is>
          <t>SEP-006</t>
        </is>
      </c>
      <c r="B10" s="50" t="inlineStr">
        <is>
          <t>Verified</t>
        </is>
      </c>
      <c r="C10" s="50" t="inlineStr">
        <is>
          <t>Investment Contribution</t>
        </is>
      </c>
      <c r="D10" s="50" t="inlineStr">
        <is>
          <t>TFSA</t>
        </is>
      </c>
      <c r="E10" s="50" t="inlineStr">
        <is>
          <t>INVEST-2026-09</t>
        </is>
      </c>
      <c r="F10" s="51" t="n">
        <v>46266</v>
      </c>
      <c r="G10" s="50" t="inlineStr"/>
    </row>
    <row r="11">
      <c r="A11" s="50" t="inlineStr">
        <is>
          <t>SEP-007</t>
        </is>
      </c>
      <c r="B11" s="50" t="inlineStr">
        <is>
          <t>Verified</t>
        </is>
      </c>
      <c r="C11" s="50" t="inlineStr"/>
      <c r="D11" s="50" t="inlineStr"/>
      <c r="E11" s="50" t="inlineStr"/>
      <c r="F11" s="51" t="n">
        <v>46266</v>
      </c>
      <c r="G11" s="50" t="inlineStr"/>
    </row>
    <row r="12">
      <c r="A12" s="50" t="inlineStr">
        <is>
          <t>SEP-008</t>
        </is>
      </c>
      <c r="B12" s="50" t="inlineStr">
        <is>
          <t>Verified</t>
        </is>
      </c>
      <c r="C12" s="50" t="inlineStr"/>
      <c r="D12" s="50" t="inlineStr"/>
      <c r="E12" s="50" t="inlineStr"/>
      <c r="F12" s="51" t="n">
        <v>46266</v>
      </c>
      <c r="G12" s="50" t="inlineStr"/>
    </row>
    <row r="13">
      <c r="A13" s="50" t="inlineStr">
        <is>
          <t>SEP-009</t>
        </is>
      </c>
      <c r="B13" s="50" t="inlineStr">
        <is>
          <t>Verified</t>
        </is>
      </c>
      <c r="C13" s="50" t="inlineStr"/>
      <c r="D13" s="50" t="inlineStr"/>
      <c r="E13" s="50" t="inlineStr"/>
      <c r="F13" s="51" t="n">
        <v>46266</v>
      </c>
      <c r="G13" s="50" t="inlineStr"/>
    </row>
    <row r="14">
      <c r="A14" s="50" t="inlineStr">
        <is>
          <t>SEP-010</t>
        </is>
      </c>
      <c r="B14" s="50" t="inlineStr">
        <is>
          <t>Verified</t>
        </is>
      </c>
      <c r="C14" s="50" t="inlineStr"/>
      <c r="D14" s="50" t="inlineStr"/>
      <c r="E14" s="50" t="inlineStr"/>
      <c r="F14" s="51" t="n">
        <v>46266</v>
      </c>
      <c r="G14" s="50" t="inlineStr"/>
    </row>
    <row r="15">
      <c r="A15" s="50" t="inlineStr">
        <is>
          <t>SEP-011</t>
        </is>
      </c>
      <c r="B15" s="50" t="inlineStr">
        <is>
          <t>Verified</t>
        </is>
      </c>
      <c r="C15" s="50" t="inlineStr"/>
      <c r="D15" s="50" t="inlineStr"/>
      <c r="E15" s="50" t="inlineStr"/>
      <c r="F15" s="51" t="n">
        <v>46266</v>
      </c>
      <c r="G15" s="50" t="inlineStr"/>
    </row>
    <row r="16">
      <c r="A16" s="50" t="inlineStr">
        <is>
          <t>SEP-012</t>
        </is>
      </c>
      <c r="B16" s="50" t="inlineStr">
        <is>
          <t>Verified</t>
        </is>
      </c>
      <c r="C16" s="50" t="inlineStr"/>
      <c r="D16" s="50" t="inlineStr"/>
      <c r="E16" s="50" t="inlineStr">
        <is>
          <t>VISA-PAYMENT-2026-09</t>
        </is>
      </c>
      <c r="F16" s="51" t="n">
        <v>46266</v>
      </c>
      <c r="G16" s="50" t="inlineStr"/>
    </row>
    <row r="17">
      <c r="A17" s="50" t="inlineStr">
        <is>
          <t>SEP-013</t>
        </is>
      </c>
      <c r="B17" s="50" t="inlineStr">
        <is>
          <t>Verified</t>
        </is>
      </c>
      <c r="C17" s="50" t="inlineStr"/>
      <c r="D17" s="50" t="inlineStr"/>
      <c r="E17" s="50" t="inlineStr">
        <is>
          <t>VISA-PAYMENT-2026-09</t>
        </is>
      </c>
      <c r="F17" s="51" t="n">
        <v>46266</v>
      </c>
      <c r="G17" s="50" t="inlineStr"/>
    </row>
    <row r="18">
      <c r="A18" s="50" t="inlineStr">
        <is>
          <t>SEP-014</t>
        </is>
      </c>
      <c r="B18" s="50" t="inlineStr">
        <is>
          <t>Verified</t>
        </is>
      </c>
      <c r="C18" s="50" t="inlineStr"/>
      <c r="D18" s="50" t="inlineStr"/>
      <c r="E18" s="50" t="inlineStr"/>
      <c r="F18" s="51" t="n">
        <v>46266</v>
      </c>
      <c r="G18" s="50" t="inlineStr"/>
    </row>
    <row r="19">
      <c r="A19" s="50" t="inlineStr">
        <is>
          <t>SEP-015</t>
        </is>
      </c>
      <c r="B19" s="50" t="inlineStr">
        <is>
          <t>Verified</t>
        </is>
      </c>
      <c r="C19" s="50" t="inlineStr"/>
      <c r="D19" s="50" t="inlineStr"/>
      <c r="E19" s="50" t="inlineStr"/>
      <c r="F19" s="51" t="n">
        <v>46266</v>
      </c>
      <c r="G19" s="50" t="inlineStr"/>
    </row>
    <row r="20">
      <c r="A20" s="50" t="inlineStr">
        <is>
          <t>SEP-016</t>
        </is>
      </c>
      <c r="B20" s="50" t="inlineStr">
        <is>
          <t>Verified</t>
        </is>
      </c>
      <c r="C20" s="50" t="inlineStr"/>
      <c r="D20" s="50" t="inlineStr"/>
      <c r="E20" s="50" t="inlineStr">
        <is>
          <t>DINNER-2026-09-25</t>
        </is>
      </c>
      <c r="F20" s="51" t="n">
        <v>46266</v>
      </c>
      <c r="G20" s="50" t="inlineStr">
        <is>
          <t>Dinner paid in full</t>
        </is>
      </c>
    </row>
    <row r="21">
      <c r="A21" s="50" t="inlineStr">
        <is>
          <t>SEP-017</t>
        </is>
      </c>
      <c r="B21" s="50" t="inlineStr">
        <is>
          <t>Verified</t>
        </is>
      </c>
      <c r="C21" s="50" t="inlineStr">
        <is>
          <t>Reimbursement Received</t>
        </is>
      </c>
      <c r="D21" s="50" t="inlineStr">
        <is>
          <t>Restaurants</t>
        </is>
      </c>
      <c r="E21" s="50" t="inlineStr">
        <is>
          <t>DINNER-2026-09-25</t>
        </is>
      </c>
      <c r="F21" s="51" t="n">
        <v>46266</v>
      </c>
      <c r="G21" s="50" t="inlineStr">
        <is>
          <t>Friend's share</t>
        </is>
      </c>
    </row>
    <row r="22">
      <c r="A22" s="50" t="inlineStr">
        <is>
          <t>SEP-018</t>
        </is>
      </c>
      <c r="B22" s="50" t="inlineStr">
        <is>
          <t>Verified</t>
        </is>
      </c>
      <c r="C22" s="50" t="inlineStr"/>
      <c r="D22" s="50" t="inlineStr"/>
      <c r="E22" s="50" t="inlineStr"/>
      <c r="F22" s="51" t="n">
        <v>46266</v>
      </c>
      <c r="G22" s="50" t="inlineStr"/>
    </row>
    <row r="23">
      <c r="A23" s="50" t="inlineStr">
        <is>
          <t>SEP-019</t>
        </is>
      </c>
      <c r="B23" s="50" t="inlineStr">
        <is>
          <t>Verified</t>
        </is>
      </c>
      <c r="C23" s="50" t="inlineStr"/>
      <c r="D23" s="50" t="inlineStr"/>
      <c r="E23" s="50" t="inlineStr"/>
      <c r="F23" s="51" t="n">
        <v>46266</v>
      </c>
      <c r="G23" s="50" t="inlineStr"/>
    </row>
    <row r="24">
      <c r="A24" s="50" t="inlineStr">
        <is>
          <t>OCT-001</t>
        </is>
      </c>
      <c r="B24" s="50" t="inlineStr">
        <is>
          <t>Verified</t>
        </is>
      </c>
      <c r="C24" s="50" t="inlineStr"/>
      <c r="D24" s="50" t="inlineStr"/>
      <c r="E24" s="50" t="inlineStr"/>
      <c r="F24" s="51" t="n">
        <v>46296</v>
      </c>
      <c r="G24" s="50" t="inlineStr"/>
    </row>
    <row r="25">
      <c r="A25" s="50" t="inlineStr">
        <is>
          <t>OCT-002</t>
        </is>
      </c>
      <c r="B25" s="50" t="inlineStr">
        <is>
          <t>Verified</t>
        </is>
      </c>
      <c r="C25" s="50" t="inlineStr"/>
      <c r="D25" s="50" t="inlineStr"/>
      <c r="E25" s="50" t="inlineStr">
        <is>
          <t>RENT-2026-10</t>
        </is>
      </c>
      <c r="F25" s="51" t="n">
        <v>46296</v>
      </c>
      <c r="G25" s="50" t="inlineStr">
        <is>
          <t>Full rent paid</t>
        </is>
      </c>
    </row>
    <row r="26">
      <c r="A26" s="50" t="inlineStr">
        <is>
          <t>OCT-003</t>
        </is>
      </c>
      <c r="B26" s="50" t="inlineStr">
        <is>
          <t>Verified</t>
        </is>
      </c>
      <c r="C26" s="50" t="inlineStr">
        <is>
          <t>Reimbursement Received</t>
        </is>
      </c>
      <c r="D26" s="50" t="inlineStr">
        <is>
          <t>Rent</t>
        </is>
      </c>
      <c r="E26" s="50" t="inlineStr">
        <is>
          <t>RENT-2026-10</t>
        </is>
      </c>
      <c r="F26" s="51" t="n">
        <v>46296</v>
      </c>
      <c r="G26" s="50" t="inlineStr">
        <is>
          <t>Roommate's share</t>
        </is>
      </c>
    </row>
    <row r="27">
      <c r="A27" s="50" t="inlineStr">
        <is>
          <t>OCT-004</t>
        </is>
      </c>
      <c r="B27" s="50" t="inlineStr">
        <is>
          <t>Verified</t>
        </is>
      </c>
      <c r="C27" s="50" t="inlineStr"/>
      <c r="D27" s="50" t="inlineStr"/>
      <c r="E27" s="50" t="inlineStr"/>
      <c r="F27" s="51" t="n">
        <v>46296</v>
      </c>
      <c r="G27" s="50" t="inlineStr"/>
    </row>
    <row r="28">
      <c r="A28" s="50" t="inlineStr">
        <is>
          <t>OCT-005</t>
        </is>
      </c>
      <c r="B28" s="50" t="inlineStr">
        <is>
          <t>Verified</t>
        </is>
      </c>
      <c r="C28" s="50" t="inlineStr"/>
      <c r="D28" s="50" t="inlineStr"/>
      <c r="E28" s="50" t="inlineStr">
        <is>
          <t>DINNER-2026-10-04</t>
        </is>
      </c>
      <c r="F28" s="51" t="n">
        <v>46296</v>
      </c>
      <c r="G28" s="50" t="inlineStr">
        <is>
          <t>Dinner paid in full</t>
        </is>
      </c>
    </row>
    <row r="29">
      <c r="A29" s="50" t="inlineStr">
        <is>
          <t>OCT-006</t>
        </is>
      </c>
      <c r="B29" s="50" t="inlineStr">
        <is>
          <t>Verified</t>
        </is>
      </c>
      <c r="C29" s="50" t="inlineStr">
        <is>
          <t>Reimbursement Received</t>
        </is>
      </c>
      <c r="D29" s="50" t="inlineStr">
        <is>
          <t>Restaurants</t>
        </is>
      </c>
      <c r="E29" s="50" t="inlineStr">
        <is>
          <t>DINNER-2026-10-04</t>
        </is>
      </c>
      <c r="F29" s="51" t="n">
        <v>46296</v>
      </c>
      <c r="G29" s="50" t="inlineStr">
        <is>
          <t>Friends' shares</t>
        </is>
      </c>
    </row>
    <row r="30">
      <c r="A30" s="50" t="inlineStr">
        <is>
          <t>OCT-007</t>
        </is>
      </c>
      <c r="B30" s="50" t="inlineStr">
        <is>
          <t>Verified</t>
        </is>
      </c>
      <c r="C30" s="50" t="inlineStr">
        <is>
          <t>Sinking Fund Contribution</t>
        </is>
      </c>
      <c r="D30" s="50" t="inlineStr">
        <is>
          <t>Vacation Fund</t>
        </is>
      </c>
      <c r="E30" s="50" t="inlineStr">
        <is>
          <t>VACATION-2026-10</t>
        </is>
      </c>
      <c r="F30" s="51" t="n">
        <v>46296</v>
      </c>
      <c r="G30" s="50" t="inlineStr"/>
    </row>
    <row r="31">
      <c r="A31" s="50" t="inlineStr">
        <is>
          <t>OCT-008</t>
        </is>
      </c>
      <c r="B31" s="50" t="inlineStr">
        <is>
          <t>Verified</t>
        </is>
      </c>
      <c r="C31" s="50" t="inlineStr"/>
      <c r="D31" s="50" t="inlineStr"/>
      <c r="E31" s="50" t="inlineStr">
        <is>
          <t>VACATION-2026-10</t>
        </is>
      </c>
      <c r="F31" s="51" t="n">
        <v>46296</v>
      </c>
      <c r="G31" s="50" t="inlineStr">
        <is>
          <t>Matching account transfer</t>
        </is>
      </c>
    </row>
    <row r="32">
      <c r="A32" s="50" t="inlineStr">
        <is>
          <t>OCT-009</t>
        </is>
      </c>
      <c r="B32" s="50" t="inlineStr">
        <is>
          <t>Verified</t>
        </is>
      </c>
      <c r="C32" s="50" t="inlineStr">
        <is>
          <t>Investment Contribution</t>
        </is>
      </c>
      <c r="D32" s="50" t="inlineStr">
        <is>
          <t>TFSA</t>
        </is>
      </c>
      <c r="E32" s="50" t="inlineStr">
        <is>
          <t>INVEST-2026-10</t>
        </is>
      </c>
      <c r="F32" s="51" t="n">
        <v>46296</v>
      </c>
      <c r="G32" s="50" t="inlineStr"/>
    </row>
    <row r="33">
      <c r="A33" s="50" t="inlineStr">
        <is>
          <t>OCT-010</t>
        </is>
      </c>
      <c r="B33" s="50" t="inlineStr">
        <is>
          <t>Verified</t>
        </is>
      </c>
      <c r="C33" s="50" t="inlineStr"/>
      <c r="D33" s="50" t="inlineStr"/>
      <c r="E33" s="50" t="inlineStr"/>
      <c r="F33" s="51" t="n">
        <v>46296</v>
      </c>
      <c r="G33" s="50" t="inlineStr"/>
    </row>
    <row r="34">
      <c r="A34" s="50" t="inlineStr">
        <is>
          <t>OCT-011</t>
        </is>
      </c>
      <c r="B34" s="50" t="inlineStr">
        <is>
          <t>Verified</t>
        </is>
      </c>
      <c r="C34" s="50" t="inlineStr"/>
      <c r="D34" s="50" t="inlineStr"/>
      <c r="E34" s="50" t="inlineStr"/>
      <c r="F34" s="51" t="n">
        <v>46296</v>
      </c>
      <c r="G34" s="50" t="inlineStr"/>
    </row>
    <row r="35">
      <c r="A35" s="50" t="inlineStr">
        <is>
          <t>OCT-012</t>
        </is>
      </c>
      <c r="B35" s="50" t="inlineStr">
        <is>
          <t>Verified</t>
        </is>
      </c>
      <c r="C35" s="50" t="inlineStr"/>
      <c r="D35" s="50" t="inlineStr"/>
      <c r="E35" s="50" t="inlineStr"/>
      <c r="F35" s="51" t="n">
        <v>46296</v>
      </c>
      <c r="G35" s="50" t="inlineStr"/>
    </row>
    <row r="36">
      <c r="A36" s="50" t="inlineStr">
        <is>
          <t>OCT-013</t>
        </is>
      </c>
      <c r="B36" s="50" t="inlineStr">
        <is>
          <t>Verified</t>
        </is>
      </c>
      <c r="C36" s="50" t="inlineStr"/>
      <c r="D36" s="50" t="inlineStr"/>
      <c r="E36" s="50" t="inlineStr">
        <is>
          <t>VISA-PAYMENT-2026-10</t>
        </is>
      </c>
      <c r="F36" s="51" t="n">
        <v>46296</v>
      </c>
      <c r="G36" s="50" t="inlineStr"/>
    </row>
    <row r="37">
      <c r="A37" s="50" t="inlineStr">
        <is>
          <t>OCT-013B</t>
        </is>
      </c>
      <c r="B37" s="50" t="inlineStr">
        <is>
          <t>Verified</t>
        </is>
      </c>
      <c r="C37" s="50" t="inlineStr"/>
      <c r="D37" s="50" t="inlineStr"/>
      <c r="E37" s="50" t="inlineStr">
        <is>
          <t>VISA-PAYMENT-2026-10</t>
        </is>
      </c>
      <c r="F37" s="51" t="n">
        <v>46296</v>
      </c>
      <c r="G37" s="50" t="inlineStr"/>
    </row>
    <row r="38">
      <c r="A38" s="50" t="inlineStr">
        <is>
          <t>OCT-014</t>
        </is>
      </c>
      <c r="B38" s="50" t="inlineStr">
        <is>
          <t>Unreviewed</t>
        </is>
      </c>
      <c r="C38" s="50" t="inlineStr"/>
      <c r="D38" s="50" t="inlineStr"/>
      <c r="E38" s="50" t="inlineStr"/>
      <c r="F38" s="51" t="n">
        <v>46296</v>
      </c>
      <c r="G38" s="50" t="inlineStr"/>
    </row>
    <row r="39">
      <c r="A39" s="50" t="inlineStr">
        <is>
          <t>OCT-015</t>
        </is>
      </c>
      <c r="B39" s="50" t="inlineStr">
        <is>
          <t>Verified</t>
        </is>
      </c>
      <c r="C39" s="50" t="inlineStr"/>
      <c r="D39" s="50" t="inlineStr"/>
      <c r="E39" s="50" t="inlineStr"/>
      <c r="F39" s="51" t="n">
        <v>46296</v>
      </c>
      <c r="G39" s="50" t="inlineStr"/>
    </row>
  </sheetData>
  <autoFilter ref="A4:G39"/>
  <mergeCells count="2">
    <mergeCell ref="A2:G2"/>
    <mergeCell ref="A1:G1"/>
  </mergeCells>
  <conditionalFormatting sqref="B5:B39">
    <cfRule type="expression" priority="1" dxfId="1">
      <formula>B5="Verified"</formula>
    </cfRule>
    <cfRule type="expression" priority="2" dxfId="4">
      <formula>OR(B5="Unreviewed",B5="Needs Correction")</formula>
    </cfRule>
  </conditionalFormatting>
  <dataValidations count="3">
    <dataValidation sqref="B5:B39" showDropDown="0" showInputMessage="0" showErrorMessage="0" allowBlank="0" type="list">
      <formula1>=StatusList</formula1>
    </dataValidation>
    <dataValidation sqref="C5:C39" showDropDown="0" showInputMessage="0" showErrorMessage="0" allowBlank="1" type="list">
      <formula1>=TypeList</formula1>
    </dataValidation>
    <dataValidation sqref="D5:D39" showDropDown="0" showInputMessage="0" showErrorMessage="0" allowBlank="1" type="list">
      <formula1>=CategoryList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Statuses</t>
        </is>
      </c>
      <c r="B1" t="inlineStr">
        <is>
          <t>Types</t>
        </is>
      </c>
      <c r="C1" t="inlineStr">
        <is>
          <t>Categories</t>
        </is>
      </c>
      <c r="D1" t="inlineStr">
        <is>
          <t>Accounts</t>
        </is>
      </c>
    </row>
    <row r="2">
      <c r="A2" t="inlineStr">
        <is>
          <t>Verified</t>
        </is>
      </c>
      <c r="B2" t="inlineStr">
        <is>
          <t>Income</t>
        </is>
      </c>
      <c r="C2" t="inlineStr">
        <is>
          <t>Employment</t>
        </is>
      </c>
      <c r="D2" t="inlineStr">
        <is>
          <t>Chequing</t>
        </is>
      </c>
    </row>
    <row r="3">
      <c r="A3" t="inlineStr">
        <is>
          <t>Unreviewed</t>
        </is>
      </c>
      <c r="B3" t="inlineStr">
        <is>
          <t>Expense</t>
        </is>
      </c>
      <c r="C3" t="inlineStr">
        <is>
          <t>Rent</t>
        </is>
      </c>
      <c r="D3" t="inlineStr">
        <is>
          <t>Savings</t>
        </is>
      </c>
    </row>
    <row r="4">
      <c r="A4" t="inlineStr">
        <is>
          <t>Needs Correction</t>
        </is>
      </c>
      <c r="B4" t="inlineStr">
        <is>
          <t>Reimbursement Received</t>
        </is>
      </c>
      <c r="C4" t="inlineStr">
        <is>
          <t>Groceries</t>
        </is>
      </c>
      <c r="D4" t="inlineStr">
        <is>
          <t>Visa</t>
        </is>
      </c>
    </row>
    <row r="5">
      <c r="A5" t="inlineStr">
        <is>
          <t>Duplicate</t>
        </is>
      </c>
      <c r="B5" t="inlineStr">
        <is>
          <t>Sinking Fund Contribution</t>
        </is>
      </c>
      <c r="C5" t="inlineStr">
        <is>
          <t>Restaurants</t>
        </is>
      </c>
    </row>
    <row r="6">
      <c r="A6" t="inlineStr">
        <is>
          <t>Excluded</t>
        </is>
      </c>
      <c r="B6" t="inlineStr">
        <is>
          <t>Investment Contribution</t>
        </is>
      </c>
      <c r="C6" t="inlineStr">
        <is>
          <t>Transportation</t>
        </is>
      </c>
    </row>
    <row r="7">
      <c r="B7" t="inlineStr">
        <is>
          <t>Internal Transfer</t>
        </is>
      </c>
      <c r="C7" t="inlineStr">
        <is>
          <t>Utilities</t>
        </is>
      </c>
    </row>
    <row r="8">
      <c r="C8" t="inlineStr">
        <is>
          <t>Subscriptions</t>
        </is>
      </c>
    </row>
    <row r="9">
      <c r="C9" t="inlineStr">
        <is>
          <t>Personal</t>
        </is>
      </c>
    </row>
    <row r="10">
      <c r="C10" t="inlineStr">
        <is>
          <t>Vacation Fund</t>
        </is>
      </c>
    </row>
    <row r="11">
      <c r="C11" t="inlineStr">
        <is>
          <t>TFSA</t>
        </is>
      </c>
    </row>
    <row r="12">
      <c r="C12" t="inlineStr">
        <is>
          <t>Transfer</t>
        </is>
      </c>
    </row>
    <row r="13">
      <c r="C13" t="inlineStr">
        <is>
          <t>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2026-10-13T17:01:17Z</dcterms:created>
  <dcterms:modified xsi:type="dcterms:W3CDTF">2026-10-13T17:01:17Z</dcterms:modified>
</cp:coreProperties>
</file>